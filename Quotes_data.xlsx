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데이터" sheetId="1" r:id="rId5"/>
    <sheet state="visible" name="원본" sheetId="2" r:id="rId6"/>
    <sheet state="visible" name="참고" sheetId="3" r:id="rId7"/>
    <sheet state="hidden" name="Data" sheetId="4" r:id="rId8"/>
  </sheets>
  <definedNames/>
  <calcPr/>
</workbook>
</file>

<file path=xl/sharedStrings.xml><?xml version="1.0" encoding="utf-8"?>
<sst xmlns="http://schemas.openxmlformats.org/spreadsheetml/2006/main" count="8318" uniqueCount="1621">
  <si>
    <t>id</t>
  </si>
  <si>
    <t>tag_kr</t>
  </si>
  <si>
    <t>tag_eng</t>
  </si>
  <si>
    <t>imagefile</t>
  </si>
  <si>
    <t>resoner_kr</t>
  </si>
  <si>
    <t>resoner_eng</t>
  </si>
  <si>
    <t>text_kr</t>
  </si>
  <si>
    <t>text_eng</t>
  </si>
  <si>
    <t>인생</t>
  </si>
  <si>
    <t>Life</t>
  </si>
  <si>
    <t>Angelou</t>
  </si>
  <si>
    <t>마야 안젤루</t>
  </si>
  <si>
    <t>Maya Angelou</t>
  </si>
  <si>
    <t>인생에서 많은 패배에 직면하겠지만 결코 패배하지 말라.</t>
  </si>
  <si>
    <t>You will face many defeats in life, But never let yourself be defeated.</t>
  </si>
  <si>
    <t>Mandela</t>
  </si>
  <si>
    <t>넬슨 만델라</t>
  </si>
  <si>
    <t>Nelson Mandela</t>
  </si>
  <si>
    <t>인생에서 가장 큰 영광은 넘어지지 않는 것에 있는 것이 아니라 매번 일어선다는 데 있다.</t>
  </si>
  <si>
    <t>The greatest glory in living lies not in never falling, But in rising every time we fall.</t>
  </si>
  <si>
    <t>Lincoln</t>
  </si>
  <si>
    <t>에이브러햄 링컨</t>
  </si>
  <si>
    <t>Abraham Lincoln</t>
  </si>
  <si>
    <t>인생에 있어 중요한 것은 살아온 햇수가 아니라 그 햇수 속의 삶이다.</t>
  </si>
  <si>
    <t>In the end, It’s not the years in your life that count. It’s the life in your years.</t>
  </si>
  <si>
    <t>Keller</t>
  </si>
  <si>
    <t>헬렌 켈러</t>
  </si>
  <si>
    <t>Helen Keller</t>
  </si>
  <si>
    <t>인생은 과감한 모험이거나 아니면 아무것도 아니다.</t>
  </si>
  <si>
    <t>Life is either a daring adventure or nothing at all.</t>
  </si>
  <si>
    <t>Edison</t>
  </si>
  <si>
    <t>토머스 에디슨</t>
  </si>
  <si>
    <t>Thomas A. Edison</t>
  </si>
  <si>
    <t>많은 인생의 실패는 사람이 포기할 때 자신이 성공에 얼마나 가까이 있는지 깨닫지 못하는 것이다.</t>
  </si>
  <si>
    <t>Many of life’s failures are people who did not realize how close they were to success when they gave up.</t>
  </si>
  <si>
    <t>Roosevelt</t>
  </si>
  <si>
    <t>시어도어 루스벨트</t>
  </si>
  <si>
    <t>Theodore Roosevelt</t>
  </si>
  <si>
    <t>별을 바라보고 땅을 밟는다.</t>
  </si>
  <si>
    <t>Keep your eyes on the stars and your feet on the ground.</t>
  </si>
  <si>
    <t>None</t>
  </si>
  <si>
    <t>릴리 퓰리처</t>
  </si>
  <si>
    <t>Lilly Pulitzer</t>
  </si>
  <si>
    <t>일기예보에도 불구하고, 봄처럼 살아라.</t>
  </si>
  <si>
    <t>Despite the forecast, live like It’s spring.</t>
  </si>
  <si>
    <t>Twain</t>
  </si>
  <si>
    <t>마크 트웨인</t>
  </si>
  <si>
    <t>Mark Twain</t>
  </si>
  <si>
    <t>당신의 인생에서 가장 중요한 두 날은 당신이 태어난 날과 그 이유를 찾는 날이다.</t>
  </si>
  <si>
    <t>The two most important days in your life are the day you are born and the day you find out why.</t>
  </si>
  <si>
    <t>사랑</t>
  </si>
  <si>
    <t>Love</t>
  </si>
  <si>
    <t>Nietzsche</t>
  </si>
  <si>
    <t>프리드리히 니체</t>
  </si>
  <si>
    <t>Friedrich Nietzsche</t>
  </si>
  <si>
    <t>사랑에는 항상 광기가 존재한다. 그러나 광기에는 항상 이유가 존재한다.</t>
  </si>
  <si>
    <t>There is always some madness in love. But there is also always some reason in madness.</t>
  </si>
  <si>
    <t>Pope</t>
  </si>
  <si>
    <t>알렉산더 포프</t>
  </si>
  <si>
    <t>Alexander Pope</t>
  </si>
  <si>
    <t>사람들과의 인연에서 사랑이란 공기처럼 가벼운 것이다. 가벼운 날개를 활짝 펴고 순식간에 날아간다.</t>
  </si>
  <si>
    <t>Love, free as air at sight of human ties, Spreads his light wings, and in a moment flies.</t>
  </si>
  <si>
    <t>Shakespeare</t>
  </si>
  <si>
    <t>윌리엄 셰익스피어</t>
  </si>
  <si>
    <t>William Shakespeare</t>
  </si>
  <si>
    <t>사랑은 내게 질문하지 않으며, 다만 끝없는 지지를 준다.</t>
  </si>
  <si>
    <t>Love asks me no questions, and gives me endless support.</t>
  </si>
  <si>
    <t>Thackeray</t>
  </si>
  <si>
    <t>윌리엄 테커레이</t>
  </si>
  <si>
    <t>William Thackeray</t>
  </si>
  <si>
    <t>사랑하고 그것을 이루는 것은 최고의 것이다. 사랑하고 그것을 잃는 것이 그 다음으로 최고의 것이다.</t>
  </si>
  <si>
    <t>To love and win is the best thing. To love and lose, is the next best thing.</t>
  </si>
  <si>
    <t>Franklin</t>
  </si>
  <si>
    <t>벤저민 프랭클린</t>
  </si>
  <si>
    <t>Benjamin Franklin</t>
  </si>
  <si>
    <t>사랑받고 싶다면, 사랑하고 사랑스러워져라.</t>
  </si>
  <si>
    <t>If you would be loved, love and be lovable.</t>
  </si>
  <si>
    <t>Chesterton</t>
  </si>
  <si>
    <t>G.K. 체스터턴</t>
  </si>
  <si>
    <t>G.K. Chesterton</t>
  </si>
  <si>
    <t>어떤 것이든지 사랑하게 되는 방법은 이를 잃을 수도 있다는 것을 알게 되는 것이다.</t>
  </si>
  <si>
    <t>The way to love anything is to realize that it might be lost.</t>
  </si>
  <si>
    <t>Frost</t>
  </si>
  <si>
    <t>로버트 프로스트</t>
  </si>
  <si>
    <t>Robert Frost</t>
  </si>
  <si>
    <t>내가 인생에 대해 배운 모든 것을 세 단어로 요약할 수 있다. 인생은 계속된다.</t>
  </si>
  <si>
    <t>In three words I can sum up everything I've learned about life: it goes on.</t>
  </si>
  <si>
    <t>Jones</t>
  </si>
  <si>
    <t>프랭클린 P. 존스</t>
  </si>
  <si>
    <t>Franklin P. Jones</t>
  </si>
  <si>
    <t>사랑은 세상을 움직이는 것이 아니다. 사랑은 그 여정을 가치 있게 만드는 것이다.</t>
  </si>
  <si>
    <t>Love doesn’t make the world go round. Love is what makes the ride worthwhile.</t>
  </si>
  <si>
    <t>진정한 사랑의 길은 결코 평탄한 적이 없었다.</t>
  </si>
  <si>
    <t>The course of true love never did run smooth.</t>
  </si>
  <si>
    <t>세상에서 가장 아름답고 최고의 것은 보거나 만질 수 없다. 가슴으로 느껴져야만 한다.</t>
  </si>
  <si>
    <t>The best and most beautiful things in the world cannot be seen or even touched. They must be felt with the heart.</t>
  </si>
  <si>
    <t>Churchill</t>
  </si>
  <si>
    <t>윈스턴 처칠</t>
  </si>
  <si>
    <t>Winston Churchill</t>
  </si>
  <si>
    <t>성공이란 실패에 실패를 거듭하면서도 열의를 잃지 않는 것이다.</t>
  </si>
  <si>
    <t>Success is going from failure to failure without a loss of enthusiasm.</t>
  </si>
  <si>
    <t>Carnegie</t>
  </si>
  <si>
    <t>앤드루 카네기</t>
  </si>
  <si>
    <t>Andrew Carnegie</t>
  </si>
  <si>
    <t>스스로 자신을 돕지 않는 사람은 아무리 도와봐야 소용이 없다. 스스로 올라가려고 하지 않는 사람을 밀어서 사다리 위로 올려 보낼 수는 없는 법이니까.</t>
  </si>
  <si>
    <t>There is no use whatever trying to help people who do not help themselves. You cannot push anyone up a ladder unless he be willing to climb himself.</t>
  </si>
  <si>
    <t>늘 이걸 명심하라. 그 무엇보다 성공하겠다는 결의가 중요하다.</t>
  </si>
  <si>
    <t>Always bear in mind that your own resolution to succeed is more important than any other.</t>
  </si>
  <si>
    <t>Einstein</t>
  </si>
  <si>
    <t>알베르트 아인슈타인</t>
  </si>
  <si>
    <t>Albert Einstein</t>
  </si>
  <si>
    <t>성공한 사람이 되려고 애쓰지 말고, 가치 있는 사람이 되려 애써라.</t>
  </si>
  <si>
    <t>Try not to become a man of success but rather try to become a man of value.</t>
  </si>
  <si>
    <t>Cocteau</t>
  </si>
  <si>
    <t>장 콕토</t>
  </si>
  <si>
    <t>Jean Cocteau</t>
  </si>
  <si>
    <t>우린 운이 있다는 걸 믿어야 한다. 그게 아니면 우리가 싫어하는 사람들의 성공을 어찌 설명하겠는가?</t>
  </si>
  <si>
    <t>We must believe in luck. For how else can we explain the success of those we don’t like?</t>
  </si>
  <si>
    <t>Jefferson</t>
  </si>
  <si>
    <t>토머스 제퍼슨</t>
  </si>
  <si>
    <t>Thomas Jefferson</t>
  </si>
  <si>
    <t>더 열심히 일하면 할수록 운이 더 좋아진다는 것을 알게 된다.</t>
  </si>
  <si>
    <t>I find that the harder I work, the more luck I seem to have.</t>
  </si>
  <si>
    <t>Rockefeller</t>
  </si>
  <si>
    <t>존 록펠러</t>
  </si>
  <si>
    <t>John D. Rockefeller</t>
  </si>
  <si>
    <t>더 나은 것을 위해 좋은 것을 포기하는 걸 두려워하지 마라.</t>
  </si>
  <si>
    <t>Don’t be afraid to give up the good to go for the great.</t>
  </si>
  <si>
    <t>Rohn</t>
  </si>
  <si>
    <t>짐 론</t>
  </si>
  <si>
    <t>Jim Rohn</t>
  </si>
  <si>
    <t>성공한 사람들은 성공하지 못한 사람들이 하려고 하지 않는 일을 한다. 더 쉬웠으면 하지 말고, 더 나았으면 하라.</t>
  </si>
  <si>
    <t>Successful people do what unsuccessful people are not willing to do. Don’t wish it were easier; wish you were better.</t>
  </si>
  <si>
    <t>G. K. Chesterton</t>
  </si>
  <si>
    <t>나의 성공은 최고의 조언을 듣고 떠나 정반대의 일을 한 덕분이다.</t>
  </si>
  <si>
    <t>I owe my success to having listened respectfully to the very best advice, and then going away and doing the exact opposite.</t>
  </si>
  <si>
    <t>마이클 존 보박</t>
  </si>
  <si>
    <t>Michael John Bobak</t>
  </si>
  <si>
    <t>모든 진보는 안전 구역 밖에서 이루어진다.</t>
  </si>
  <si>
    <t>All progress takes place outside the comfort zone.</t>
  </si>
  <si>
    <t>Estee Lauder</t>
  </si>
  <si>
    <t>에스티 로더</t>
  </si>
  <si>
    <t>나는 결코 성공에 대해 꿈꾸지 않았다, 나는 꿈을 위해 행동했다.</t>
  </si>
  <si>
    <t>I never dreamed about success, I worked for it.</t>
  </si>
  <si>
    <t>Rand</t>
  </si>
  <si>
    <t>폴 랜드</t>
  </si>
  <si>
    <t>Paul Rand</t>
  </si>
  <si>
    <t>독특한 사람이 되려 하지 말아라. 좋은 사람이 되도록 해라.</t>
  </si>
  <si>
    <t>Do not try to be original, just try to be good.</t>
  </si>
  <si>
    <t>KingJR</t>
  </si>
  <si>
    <t>마틴 루터 킹 주니어</t>
  </si>
  <si>
    <t>Martin Luther King Jr.</t>
  </si>
  <si>
    <t>날지 못하면 달려라. 달리지 못하면 걸어라. 그리고 걷지 못하면 기어라, 당신이 무엇을 하든 앞으로 가야 한다는 것만 명심해라.</t>
  </si>
  <si>
    <t>If you cannot fly then run. If you cannot run, then walk. And, if you cannot walk, then crawl, but whatever you do, you have to keep moving forward.</t>
  </si>
  <si>
    <t>우리의 최대의 약점은 포기다. 성공으로 가는 가장 확실한 방법은 언제든지 한 번 더 시도해보는 것이다.</t>
  </si>
  <si>
    <t>Our greatest weakness lies in giving up. The most certain way to succeed is always to try just one more time.</t>
  </si>
  <si>
    <t>Hoffman</t>
  </si>
  <si>
    <t>리드 호프만</t>
  </si>
  <si>
    <t>Reid Hoffman</t>
  </si>
  <si>
    <t>자신을 가장 빨리 변화시키는 방법은 당신이 되고 싶은 모습을 하고 있는 사람들과 어울리는 것이다.</t>
  </si>
  <si>
    <t>The fastest way to change yourself is to hang out with people who are already the way you want to be.</t>
  </si>
  <si>
    <t>OReilly</t>
  </si>
  <si>
    <t>팀 오라일리</t>
  </si>
  <si>
    <t>Tim O’Reilly</t>
  </si>
  <si>
    <t>돈은 자동차 여행의 휘발유 같은 것이다. 여행 중에 휘발유가 떨어지는 것을 원치 않지만, 주유소를 위한 여행을 하고 있는 것은 아니다.</t>
  </si>
  <si>
    <t>Money is like gasoline during a road trip. You do not want to run out of gas on your trip, but you‘re not doing a tour of gas stations.</t>
  </si>
  <si>
    <t>Huizenga</t>
  </si>
  <si>
    <t>웨인 후이젠가</t>
  </si>
  <si>
    <t>Wayne Huizenga</t>
  </si>
  <si>
    <t>성공을 꿈꾸는 사람들도 있지만, 매일 아침에 일어나 꿈을 실현시키는 사람들도 있다.</t>
  </si>
  <si>
    <t>Some people dream of success, while other people get up every morning and make it happen.</t>
  </si>
  <si>
    <t>Godin</t>
  </si>
  <si>
    <t>세스 고딘</t>
  </si>
  <si>
    <t>Seth Godin</t>
  </si>
  <si>
    <t>무언가를 시작하고 실패하는 것보다 더 나쁜 것은 아무것도 시작하지 않는 것이다.</t>
  </si>
  <si>
    <t>The only thing worse than starting something and failing is not starting something.</t>
  </si>
  <si>
    <t>무언가를 정말 하고 싶다면, 당신은 방법을 찾을 것이다. 그렇지 않다면, 변명을 찾을 것이다.</t>
  </si>
  <si>
    <t>If you really want to do something, you’ll find a way. If you do not, you’ll find an excuse.</t>
  </si>
  <si>
    <t>Confucius</t>
  </si>
  <si>
    <t>공자</t>
  </si>
  <si>
    <t>허물이 있다면, 버리기를 두려워 말라.</t>
  </si>
  <si>
    <t>When you have faults, do not fear to abandon them.</t>
  </si>
  <si>
    <t>늘 행복하고 지혜로운 사람이 되려면 자주 변해야 한다.</t>
  </si>
  <si>
    <t>They must often change who would be constant in happiness or wisdom.</t>
  </si>
  <si>
    <t>라와나 블랙웰</t>
  </si>
  <si>
    <t>Lawana Blackwell</t>
  </si>
  <si>
    <t>나이가 성숙을 보장하지는 않는다.</t>
  </si>
  <si>
    <t>Age is no guarantee of maturity.</t>
  </si>
  <si>
    <t>젊음은 반드시 칭송되는 것만큼 좋은 것은 아니다.</t>
  </si>
  <si>
    <t>Youth isn’t always all It’s touted to be.</t>
  </si>
  <si>
    <t>Zeno</t>
  </si>
  <si>
    <t>제논</t>
  </si>
  <si>
    <t>자연과 조화롭게 살아가는 것이 삶의 목적이다.</t>
  </si>
  <si>
    <t>The goal of life is living in agreement with nature.</t>
  </si>
  <si>
    <t>Solomon</t>
  </si>
  <si>
    <t>솔로몬 왕</t>
  </si>
  <si>
    <t>King Solomon</t>
  </si>
  <si>
    <t>이 또한 지나가리라.</t>
  </si>
  <si>
    <t>This too shall pass.</t>
  </si>
  <si>
    <t>Caesar</t>
  </si>
  <si>
    <t>줄리어스 시저</t>
  </si>
  <si>
    <t>Julius Caesar</t>
  </si>
  <si>
    <t>주사위는 던져졌다.</t>
  </si>
  <si>
    <t>The die is cast.</t>
  </si>
  <si>
    <t>Burnett</t>
  </si>
  <si>
    <t>캐롤 버넷</t>
  </si>
  <si>
    <t>Carol Burnett</t>
  </si>
  <si>
    <t>내 인생을 바꾸는 사람은 자신입니다. 아무도 대신해줄 수 없어요.</t>
  </si>
  <si>
    <t>Only I can change my life, No one can do it for me.</t>
  </si>
  <si>
    <t>릴리 렁</t>
  </si>
  <si>
    <t>Lily Leung</t>
  </si>
  <si>
    <t>의심이 있다면, 변화해라.</t>
  </si>
  <si>
    <t>When in doubt, choose change.</t>
  </si>
  <si>
    <t>Gates</t>
  </si>
  <si>
    <t>빌 게이츠</t>
  </si>
  <si>
    <t>Bill Gates</t>
  </si>
  <si>
    <t>인생은 불공평 합니다. 익숙해지세요.</t>
  </si>
  <si>
    <t>Life is unfair, get used to it.</t>
  </si>
  <si>
    <t>즐거움은 영원히 유행에 뒤떨어지지 않는다.</t>
  </si>
  <si>
    <t>Being happy never goes out of style.</t>
  </si>
  <si>
    <t>삶에 필요한 것은 무지와 자신감이다. 그렇다면 성공은 확실하다.</t>
  </si>
  <si>
    <t>All you need in this life is ignorance and confidence, then success is sure.</t>
  </si>
  <si>
    <t>막심 라가세</t>
  </si>
  <si>
    <t>Maxime Lagacé</t>
  </si>
  <si>
    <t>인생은 산이다. 당신의 목표는 정상에 도달하는 것이 아니라 당신의 길을 찾는 것이다.</t>
  </si>
  <si>
    <t>Life is a mountain. Your goal is to find your path, not to reach the top.</t>
  </si>
  <si>
    <t>카말 라비칸트</t>
  </si>
  <si>
    <t>Kamal Ravikant</t>
  </si>
  <si>
    <t>인생은 내면으로부터 나온다. 당신이 내면을 바꿀 때, 삶은 외부로 바뀐다.</t>
  </si>
  <si>
    <t>Life is from the inside out. When you shift on the inside, life shifts on the outside.</t>
  </si>
  <si>
    <t>Kierkegaard</t>
  </si>
  <si>
    <t>쇠렌 키에르케고르</t>
  </si>
  <si>
    <t>Søren Kierkegaard</t>
  </si>
  <si>
    <t>삶은 오직 뒤돌아볼 때만 이해될 수 있지만, 우리는 앞으로 나아가며 살아야 한다.</t>
  </si>
  <si>
    <t>Life can only be understood backwards, but it must be lived forwards.</t>
  </si>
  <si>
    <t>Camus</t>
  </si>
  <si>
    <t>알베르 카뮈</t>
  </si>
  <si>
    <t>Albert Camus</t>
  </si>
  <si>
    <t>두려움 때문에 갖는 존경심만큼 비열한 것은 없다.</t>
  </si>
  <si>
    <t>Nothing in more despicable than respect based on fear.</t>
  </si>
  <si>
    <t>Winfrey</t>
  </si>
  <si>
    <t>오프라 윈프리</t>
  </si>
  <si>
    <t>Oprah Gail Winfrey</t>
  </si>
  <si>
    <t>상처를 지혜로 바꾸세요.</t>
  </si>
  <si>
    <t>Turn your wounds into wisdom.</t>
  </si>
  <si>
    <t>에이미 포엘러</t>
  </si>
  <si>
    <t>Amy Poehler</t>
  </si>
  <si>
    <t>자신이 됨으로써 세상을 바꿔라.</t>
  </si>
  <si>
    <t>Change the world by being yourself.</t>
  </si>
  <si>
    <t>Irving</t>
  </si>
  <si>
    <t>워싱턴 어빙</t>
  </si>
  <si>
    <t>Washington Irving</t>
  </si>
  <si>
    <t>위대한 이들은 목적을 갖고, 그 외의 사람들은 소원을 갖는다.</t>
  </si>
  <si>
    <t>Great minds have purposes, others have wishes.</t>
  </si>
  <si>
    <t>만약 네가 위험 무릅쓰지 않으려면, 어쩔 수 없이 평범함에 안주할 것이다.</t>
  </si>
  <si>
    <t>If you are not willing to risk the usual, you will have to settle for the ordinary.</t>
  </si>
  <si>
    <t>Bush</t>
  </si>
  <si>
    <t>바버라 부시</t>
  </si>
  <si>
    <t>Barbara Bush</t>
  </si>
  <si>
    <t>성공의 가장 중요한 기준이 다른 사람들을 어떻게 대하느냐라는 것이다.</t>
  </si>
  <si>
    <t>Never lose sight of the face that the most important yard stick to your success is how you treat other people.</t>
  </si>
  <si>
    <t>성공은 종점이 아니며, 실패는 치명적이지 않다. 중요한 것은 용기이다.</t>
  </si>
  <si>
    <t>Success is not final, failure is not fatal. It is the courage to continue that counts.</t>
  </si>
  <si>
    <t>Thoreau</t>
  </si>
  <si>
    <t>헨리 데이비드 소로</t>
  </si>
  <si>
    <t>Henry David Thoreau</t>
  </si>
  <si>
    <t>성공은 보통 바빠서 찾아갈 시간이 없는 사람들의 것이다.</t>
  </si>
  <si>
    <t>Success usually comes to those who are too busy to be looking for it.</t>
  </si>
  <si>
    <t>Jobs</t>
  </si>
  <si>
    <t>스티브 잡스</t>
  </si>
  <si>
    <t>Steve Jobs</t>
  </si>
  <si>
    <t>만약 당신이 정말로 자세히 관찰한다면, 대부분의 하룻밤 동안의 성공에는 많은 시간이 걸린 것을 발견할 것이다.</t>
  </si>
  <si>
    <t>If you really look closely, most overnight successes took a long time.</t>
  </si>
  <si>
    <t>RockefellerJR</t>
  </si>
  <si>
    <t>존 록펠러 주니어</t>
  </si>
  <si>
    <t xml:space="preserve">John D. Rockefeller Jr. </t>
  </si>
  <si>
    <t>성공의 비결은 평범하지 않은 일을 잘 하는 것이다.</t>
  </si>
  <si>
    <t>The secret of success is to do the common thing uncommonly well.</t>
  </si>
  <si>
    <t>Disney</t>
  </si>
  <si>
    <t>월트 디즈니</t>
  </si>
  <si>
    <t xml:space="preserve">Walt Disney </t>
  </si>
  <si>
    <t>불가능한 일을 하는 것은 재미있는 일입니다.</t>
  </si>
  <si>
    <t>It is kind of fun to do the impossible.</t>
  </si>
  <si>
    <t>어둠이 짙게 깔렸을 때야만 별을 볼 수 있는 것을 알고 있다.</t>
  </si>
  <si>
    <t>But I know, somehow, that only when it is dark enough can you see the stars.</t>
  </si>
  <si>
    <t>Ha-am</t>
  </si>
  <si>
    <t>아하드 하암</t>
  </si>
  <si>
    <t>Ahad Ha-am</t>
  </si>
  <si>
    <t>능력이 부족할수록 자만심이 더 강하다.</t>
  </si>
  <si>
    <t>The less their ability, the more their conceit.</t>
  </si>
  <si>
    <t>Aurelius</t>
  </si>
  <si>
    <t>마르쿠스 아우렐리우스</t>
  </si>
  <si>
    <t>Marcus Aurelius</t>
  </si>
  <si>
    <t>당신의 마음을 지배하는 것은 당신 자신이지, 외부의 사건이 아니다. 이를 깨달으면 힘을 얻을 것이다.</t>
  </si>
  <si>
    <t>You have power over your mind - not outside events. Realize this, and you will find strength.</t>
  </si>
  <si>
    <t>학업</t>
  </si>
  <si>
    <t>Study</t>
  </si>
  <si>
    <t>Seuss</t>
  </si>
  <si>
    <t>닥터 수스</t>
  </si>
  <si>
    <t>Dr. Seuss</t>
  </si>
  <si>
    <t>더 많이 읽을수록 더 많은 것을 알게 된다. 더 많이 배울수록 더 많은 곳을 가게 될 것이다.</t>
  </si>
  <si>
    <t>The more that you read, the more things you will know. The more that you learn, the more places you'll go.</t>
  </si>
  <si>
    <t>우정</t>
  </si>
  <si>
    <t>Friendship</t>
  </si>
  <si>
    <t>Aristotle</t>
  </si>
  <si>
    <t>아리스토텔레스</t>
  </si>
  <si>
    <t>친구란 두 신체에 깃든 하나의 영혼이다.</t>
  </si>
  <si>
    <t>Friendship is a single soul dwelling in two bodies.</t>
  </si>
  <si>
    <t>경영</t>
  </si>
  <si>
    <t>Management</t>
  </si>
  <si>
    <t>준비에 실패하는 것은 실패를 준비하는 것이다.</t>
  </si>
  <si>
    <t>By failing to prepare, you are preparing to fail.</t>
  </si>
  <si>
    <t>유머</t>
  </si>
  <si>
    <t>Humor</t>
  </si>
  <si>
    <t>주름살은 단지 미소가 머물렀던 자리를 나타낼 뿐이어야 한다.</t>
  </si>
  <si>
    <t>Wrinkles should merely indicate where smiles have been.</t>
  </si>
  <si>
    <t>Newton</t>
  </si>
  <si>
    <t>아이작 뉴턴</t>
  </si>
  <si>
    <t>Isaac Newton</t>
  </si>
  <si>
    <t>내가 더 멀리 보았다면, 그것은 거인들의 어깨 위에 올라섰기 때문이다.</t>
  </si>
  <si>
    <t>If I have seen further it is by standing on the shoulders of Giants.</t>
  </si>
  <si>
    <t>Socrates</t>
  </si>
  <si>
    <t>소크라테스</t>
  </si>
  <si>
    <t>반성하지 않는 삶은 살 가치가 없다.</t>
  </si>
  <si>
    <t>The unexamined life is not worth living.</t>
  </si>
  <si>
    <t>당신 삶의 행복은 당신 생각의 질에 달려 있다.</t>
  </si>
  <si>
    <t>The happiness of your life depends upon the quality of your thoughts.</t>
  </si>
  <si>
    <t>Epictetus</t>
  </si>
  <si>
    <t>에픽테토스</t>
  </si>
  <si>
    <t>당신에게 일어나는 일이 아니라 그 일에 어떻게 반응하느냐가 중요하다.</t>
  </si>
  <si>
    <t>It's not what happens to you, but how you react to it that matters.</t>
  </si>
  <si>
    <t>Plato</t>
  </si>
  <si>
    <t>플라톤</t>
  </si>
  <si>
    <t>가장 큰 부는 적은 것에 만족하며 사는 것이다.</t>
  </si>
  <si>
    <t>The greatest wealth is to live content with little.</t>
  </si>
  <si>
    <t>Descartes</t>
  </si>
  <si>
    <t>르네 데카르트</t>
  </si>
  <si>
    <t>René Descartes</t>
  </si>
  <si>
    <t>나는 생각한다, 고로 존재한다.</t>
  </si>
  <si>
    <t>I think, therefore I am.</t>
  </si>
  <si>
    <t>살아야 할 이유가 있는 사람은 어떤 어려움도 견뎌낼 수 있다.</t>
  </si>
  <si>
    <t>He who has a why to live for can bear almost any how.</t>
  </si>
  <si>
    <t>Hugo</t>
  </si>
  <si>
    <t>빅토르 위고</t>
  </si>
  <si>
    <t>Victor Hugo</t>
  </si>
  <si>
    <t>아무리 어두운 밤도 끝이 나고 해는 떠오를 것이다.</t>
  </si>
  <si>
    <t>Even the darkest night will end and the sun will rise.</t>
  </si>
  <si>
    <t>Tolstoy</t>
  </si>
  <si>
    <t>레프 톨스토이</t>
  </si>
  <si>
    <t>Lev Tolstoy</t>
  </si>
  <si>
    <t>모두가 세상을 변화시키려고 생각하지만, 아무도 자기 자신을 변화시키려고 생각하지 않는다.</t>
  </si>
  <si>
    <t>Everyone thinks of changing the world, but no one thinks of changing himself.</t>
  </si>
  <si>
    <t>Dickinson</t>
  </si>
  <si>
    <t>에밀리 디킨슨</t>
  </si>
  <si>
    <t>Emily Dickinson</t>
  </si>
  <si>
    <t>결코 다시 오지 않을 것이라는 사실이 삶을 이토록 달콤하게 만든다.</t>
  </si>
  <si>
    <t>That it will never come again is what makes life so sweet.</t>
  </si>
  <si>
    <t>모두를 사랑하고, 소수를 믿으며, 누구에게도 잘못을 저지르지 마라.</t>
  </si>
  <si>
    <t>Love all, trust a few, do wrong to none.</t>
  </si>
  <si>
    <t>Teresa</t>
  </si>
  <si>
    <t>마더 테레사</t>
  </si>
  <si>
    <t>Mother Teresa</t>
  </si>
  <si>
    <t>사람들을 판단하다 보면 그들을 사랑할 시간이 없다.</t>
  </si>
  <si>
    <t>If you judge people, you have no time to love them.</t>
  </si>
  <si>
    <t>증오는 증오를 몰아낼 수 없다. 오직 사랑만이 그렇게 할 수 있다.</t>
  </si>
  <si>
    <t>Hate cannot drive out hate; only love can do that.</t>
  </si>
  <si>
    <t>Gandhi</t>
  </si>
  <si>
    <t>마하트마 간디</t>
  </si>
  <si>
    <t>Mahatma Gandhi</t>
  </si>
  <si>
    <t>사랑이 있는 곳에 삶이 있다.</t>
  </si>
  <si>
    <t>Where there is love there is life.</t>
  </si>
  <si>
    <t>Austen</t>
  </si>
  <si>
    <t>제인 오스틴</t>
  </si>
  <si>
    <t>Jane Austen</t>
  </si>
  <si>
    <t>마음의 다정함과 맞먹는 매력은 없다.</t>
  </si>
  <si>
    <t>There is no charm equal to tenderness of heart.</t>
  </si>
  <si>
    <t>Wilde</t>
  </si>
  <si>
    <t>오스카 와일드</t>
  </si>
  <si>
    <t>Oscar Wilde</t>
  </si>
  <si>
    <t>자신을 사랑하는 것은 평생 지속되는 로맨스의 시작이다.</t>
  </si>
  <si>
    <t>To love oneself is the beginning of a lifelong romance.</t>
  </si>
  <si>
    <t>Exupery</t>
  </si>
  <si>
    <t>앙투안 드 생텍쥐페리</t>
  </si>
  <si>
    <t>Antoine de Saint-Exupéry</t>
  </si>
  <si>
    <t>사랑은 서로를 마주 보는 것이 아니라, 함께 같은 방향을 바라보는 것이다.</t>
  </si>
  <si>
    <t>Love does not consist in gazing at each other, but in looking outward together in the same direction.</t>
  </si>
  <si>
    <t>사랑은 어떤 장벽도 인정하지 않는다.</t>
  </si>
  <si>
    <t>Love recognizes no barriers.</t>
  </si>
  <si>
    <t>Branson</t>
  </si>
  <si>
    <t>리처드 브랜슨</t>
  </si>
  <si>
    <t>Richard Branson</t>
  </si>
  <si>
    <t>실패를 부끄러워하지 마라. 그곳에서 배우고 다시 시작하라.</t>
  </si>
  <si>
    <t>Do not be embarrassed by your failures, learn from them and start again.</t>
  </si>
  <si>
    <t>어둠 속에서 친구와 함께 걷는 것이 빛 속에서 혼자 걷는 것보다 낫다.</t>
  </si>
  <si>
    <t>Walking with a friend in the dark is better than walking alone in the light.</t>
  </si>
  <si>
    <t>Euripides</t>
  </si>
  <si>
    <t>에우리피데스</t>
  </si>
  <si>
    <t>한 명의 진실한 친구는 만 명의 친척보다 낫다.</t>
  </si>
  <si>
    <t>One loyal friend is worth ten thousand relatives.</t>
  </si>
  <si>
    <t>Aesop</t>
  </si>
  <si>
    <t>이솝</t>
  </si>
  <si>
    <t>불행은 누가 진정한 친구인지 보여준다.</t>
  </si>
  <si>
    <t>Misfortune shows those who are not really friends.</t>
  </si>
  <si>
    <t>Ford</t>
  </si>
  <si>
    <t>헨리 포드</t>
  </si>
  <si>
    <t>Henry Ford</t>
  </si>
  <si>
    <t>내 최고의 친구는 내 안의 최고를 끌어내 주는 사람이다.</t>
  </si>
  <si>
    <t>My best friend is the one who brings out the best in me.</t>
  </si>
  <si>
    <t>모든 사람에게 친구인 사람은 누구에게도 친구가 아니다.</t>
  </si>
  <si>
    <t>A friend to all is a friend to none.</t>
  </si>
  <si>
    <t>Cicero</t>
  </si>
  <si>
    <t>키케로</t>
  </si>
  <si>
    <t>우정은 기쁨을 두 배로 만들고 슬픔을 반으로 줄인다.</t>
  </si>
  <si>
    <t>Friendship doubles our joy and divides our grief.</t>
  </si>
  <si>
    <t>좋은 친구, 좋은 책, 그리고 졸린 양심, 이것이 이상적인 삶이다.</t>
  </si>
  <si>
    <t>Good friends, good books, and a sleepy conscience: this is the ideal life.</t>
  </si>
  <si>
    <t>Suntzu</t>
  </si>
  <si>
    <t>손자</t>
  </si>
  <si>
    <t>Sun Tzu</t>
  </si>
  <si>
    <t>혼돈 속에도 기회는 있다.</t>
  </si>
  <si>
    <t>In the midst of chaos, there is also opportunity.</t>
  </si>
  <si>
    <t>혁신은 리더와 추종자를 구분한다.</t>
  </si>
  <si>
    <t>Innovation distinguishes between a leader and a follower.</t>
  </si>
  <si>
    <t>Drucker</t>
  </si>
  <si>
    <t>피터 드러커</t>
  </si>
  <si>
    <t>Peter Drucker</t>
  </si>
  <si>
    <t>측정할 수 없으면 관리할 수 없다.</t>
  </si>
  <si>
    <t>If you can't measure it, you can't manage it.</t>
  </si>
  <si>
    <t>함께 모이는 것이 시작이고, 함께 머무는 것이 진전이며, 함께 일하는 것이 성공이다.</t>
  </si>
  <si>
    <t>Coming together is a beginning, staying together is progress, and working together is success.</t>
  </si>
  <si>
    <t>Buffett</t>
  </si>
  <si>
    <t>워런 버핏</t>
  </si>
  <si>
    <t>Warren Buffett</t>
  </si>
  <si>
    <t>명성을 쌓는 데는 20년이 걸리지만, 그것을 무너뜨리는 데는 5분이면 족하다.</t>
  </si>
  <si>
    <t>It takes 20 years to build a reputation and five minutes to ruin it.</t>
  </si>
  <si>
    <t>비관론자는 모든 기회에서 어려움을 보고, 낙관론자는 모든 어려움에서 기회를 본다.</t>
  </si>
  <si>
    <t>The pessimist sees difficulty in every opportunity. The optimist sees opportunity in every difficulty.</t>
  </si>
  <si>
    <t>Kennedy</t>
  </si>
  <si>
    <t>존 F. 케네디</t>
  </si>
  <si>
    <t>John F. Kennedy</t>
  </si>
  <si>
    <t>리더십과 학습은 서로에게 필수적이다.</t>
  </si>
  <si>
    <t>Leadership and learning are indispensable to each other.</t>
  </si>
  <si>
    <t>나무를 베는 데 6시간이 주어진다면, 나는 첫 4시간을 도끼를 가는 데 쓸 것이다.</t>
  </si>
  <si>
    <t>Give me six hours to chop down a tree and I will spend the first four sharpening the axe.</t>
  </si>
  <si>
    <t>거짓말이 세상을 반 바퀴 도는 동안 진실은 신발 끈을 묶고 있다.</t>
  </si>
  <si>
    <t>A lie can travel half way around the world while the truth is putting on its shoes.</t>
  </si>
  <si>
    <t>나는 유혹을 제외한 모든 것을 참을 수 있다.</t>
  </si>
  <si>
    <t>I can resist everything except temptation.</t>
  </si>
  <si>
    <t>우주와 인간의 어리석음, 이 두 가지는 무한하다. 그런데 우주에 대해서는 확신이 없다.</t>
  </si>
  <si>
    <t>Two things are infinite: the universe and human stupidity; and I'm not sure about the universe.</t>
  </si>
  <si>
    <t>개는 우리를 우러러보고, 고양이는 우리를 얕잡아본다. 돼지만이 우리를 동등하게 대한다.</t>
  </si>
  <si>
    <t>Dogs look up to us. Cats look down on us. Pigs treat us as equals.</t>
  </si>
  <si>
    <t>Shaw</t>
  </si>
  <si>
    <t>조지 버나드 쇼</t>
  </si>
  <si>
    <t>George Bernard Shaw</t>
  </si>
  <si>
    <t>내 묘비명에 이렇게 쓸 줄 알았다. 우물쭈물하다가 내 이럴 줄 알았지.</t>
  </si>
  <si>
    <t>I knew if I waited around long enough something like this would happen.</t>
  </si>
  <si>
    <t>당신이 침묵을 지키며 바보처럼 보이는 것이, 입을 열어 모든 의심을 없애는 것보다 낫다.</t>
  </si>
  <si>
    <t>Better to remain silent and be thought a fool than to speak out and remove all doubt.</t>
  </si>
  <si>
    <t>손님과 생선은 3일이 지나면 악취가 난다.</t>
  </si>
  <si>
    <t>Guests, like fish, begin to smell after three days.</t>
  </si>
  <si>
    <t>항상 적을 용서하라. 그것만큼 그들을 괴롭히는 것은 없다.</t>
  </si>
  <si>
    <t>Always forgive your enemies; nothing annoys them so much.</t>
  </si>
  <si>
    <t>배움의 뿌리는 쓰지만 그 열매는 달다.</t>
  </si>
  <si>
    <t>The roots of education are bitter, but the fruit is sweet.</t>
  </si>
  <si>
    <t>Davinci</t>
  </si>
  <si>
    <t>레오나르도 다빈치</t>
  </si>
  <si>
    <t>Leonardo da Vinci</t>
  </si>
  <si>
    <t>배움은 결코 마음을 지치게 하지 않는다.</t>
  </si>
  <si>
    <t>Learning never exhausts the mind.</t>
  </si>
  <si>
    <t>내일 죽을 것처럼 살고, 영원히 살 것처럼 배워라.</t>
  </si>
  <si>
    <t>Live as if you were to die tomorrow. Learn as if you were to live forever.</t>
  </si>
  <si>
    <t>배우기만 하고 생각하지 않으면 어둡고, 생각하기만 하고 배우지 않으면 위태롭다.</t>
  </si>
  <si>
    <t>Learning without thought is labor lost; thought without learning is perilous.</t>
  </si>
  <si>
    <t>나는 오직 한 가지, 내가 아무것도 모른다는 사실만을 안다.</t>
  </si>
  <si>
    <t>I know that I know nothing.</t>
  </si>
  <si>
    <t>학습은 경험이다. 그 밖의 모든 것은 단순한 정보일 뿐이다.</t>
  </si>
  <si>
    <t>Learning is experience. Everything else is just information.</t>
  </si>
  <si>
    <t>Michelangelo</t>
  </si>
  <si>
    <t>미켈란젤로</t>
  </si>
  <si>
    <t>나는 아직도 배우고 있다.</t>
  </si>
  <si>
    <t>I am still learning.</t>
  </si>
  <si>
    <t>교육은 세상을 바꾸기 위해 사용할 수 있는 가장 강력한 무기이다.</t>
  </si>
  <si>
    <t>Education is the most powerful weapon which you can use to change the world.</t>
  </si>
  <si>
    <t>Seneca</t>
  </si>
  <si>
    <t>세네카</t>
  </si>
  <si>
    <t>우리는 현실보다 상상 속에서 더 많이 고통받는다.</t>
  </si>
  <si>
    <t>We suffer more often in imagination than in reality.</t>
  </si>
  <si>
    <t>먼저 자신이 되고자 하는 바를 스스로에게 말하라. 그런 다음 해야 할 일을 하라.</t>
  </si>
  <si>
    <t>First say to yourself what you would be; and then do what you have to do.</t>
  </si>
  <si>
    <t>좋은 사람이란 어떤 사람인지 논쟁하느라 시간을 낭비하지 마라. 스스로 좋은 사람이 되어라.</t>
  </si>
  <si>
    <t>Waste no more time arguing about what a good man should be. Be one.</t>
  </si>
  <si>
    <t>우리를 죽이지 못하는 것은 우리를 더 강하게 만든다.</t>
  </si>
  <si>
    <t>That which does not kill us makes us stronger.</t>
  </si>
  <si>
    <t>Sartre</t>
  </si>
  <si>
    <t>장 폴 사르트르</t>
  </si>
  <si>
    <t>Jean-Paul Sartre</t>
  </si>
  <si>
    <t>인간은 자유롭도록 선고받았다.</t>
  </si>
  <si>
    <t>Man is condemned to be free.</t>
  </si>
  <si>
    <t>한겨울에 나는 마침내 내 안에 무적의 여름이 있다는 것을 알았다.</t>
  </si>
  <si>
    <t>In the depth of winter, I finally learned that within me there lay an invincible summer.</t>
  </si>
  <si>
    <t>Updike</t>
  </si>
  <si>
    <t>존 업다이크</t>
  </si>
  <si>
    <t>John Updike</t>
  </si>
  <si>
    <t>우리는 사랑에 빠졌을 때 가장 살아있음을 느낀다.</t>
  </si>
  <si>
    <t>We are most alive when we're in love.</t>
  </si>
  <si>
    <t>Schopenhauer</t>
  </si>
  <si>
    <t>아르투어 쇼펜하우어</t>
  </si>
  <si>
    <t>Arthur Schopenhauer</t>
  </si>
  <si>
    <t>연민은 도덕의 기초이다.</t>
  </si>
  <si>
    <t>Compassion is the basis of morality.</t>
  </si>
  <si>
    <t>당신의 꿈을 향해 자신 있게 나아가라. 상상하던 삶을 살아라.</t>
  </si>
  <si>
    <t>Go confidently in the direction of your dreams. Live the life you have imagined.</t>
  </si>
  <si>
    <t>Emerson</t>
  </si>
  <si>
    <t>랠프 월도 에머슨</t>
  </si>
  <si>
    <t>Ralph Waldo Emerson</t>
  </si>
  <si>
    <t>당신을 다른 사람으로 만들려고 끊임없이 노력하는 세상에서 자신을 유지하는 것이 가장 큰 성취이다.</t>
  </si>
  <si>
    <t>To be yourself in a world that is constantly trying to make you something else is the greatest accomplishment.</t>
  </si>
  <si>
    <t>Pascal</t>
  </si>
  <si>
    <t>블레즈 파스칼</t>
  </si>
  <si>
    <t>Blaise Pascal</t>
  </si>
  <si>
    <t>인류의 모든 문제는 방에 혼자 조용히 앉아 있지 못하는 데서 비롯된다.</t>
  </si>
  <si>
    <t>All of humanity's problems stem from man's inability to sit quietly in a room alone.</t>
  </si>
  <si>
    <t>Jung</t>
  </si>
  <si>
    <t>칼 융</t>
  </si>
  <si>
    <t>Carl Jung</t>
  </si>
  <si>
    <t>밖을 보는 사람은 꿈을 꾸고, 안을 보는 사람은 깨어난다.</t>
  </si>
  <si>
    <t>Who looks outside, dreams; who looks inside, awakes.</t>
  </si>
  <si>
    <t>Frankl</t>
  </si>
  <si>
    <t>빅터 프랭클</t>
  </si>
  <si>
    <t>Viktor Frankl</t>
  </si>
  <si>
    <t>우리가 더 이상 상황을 바꿀 수 없을 때, 우리는 우리 자신을 변화시키라는 도전을 받는다.</t>
  </si>
  <si>
    <t>When we are no longer able to change a situation, we are challenged to change ourselves.</t>
  </si>
  <si>
    <t>Homer</t>
  </si>
  <si>
    <t>호메로스</t>
  </si>
  <si>
    <t>가벼운 슬픔은 말이 많지만, 큰 슬픔은 말이 없다.</t>
  </si>
  <si>
    <t>Light griefs are loquacious, but the great are dumb.</t>
  </si>
  <si>
    <t>Alighieri</t>
  </si>
  <si>
    <t>단테 알리기에리</t>
  </si>
  <si>
    <t>Dante Alighieri</t>
  </si>
  <si>
    <t>당신의 길을 가라, 사람들이 뭐라 하든 내버려 두어라.</t>
  </si>
  <si>
    <t>Go your own way, and let the people talk.</t>
  </si>
  <si>
    <t>Goethe</t>
  </si>
  <si>
    <t>요한 볼프강 폰 괴테</t>
  </si>
  <si>
    <t>Johann Wolfgang von Goethe</t>
  </si>
  <si>
    <t>매일 최소한 한 곡의 노래를 듣고, 좋은 시를 읽고, 아름다운 그림을 보라.</t>
  </si>
  <si>
    <t>One ought, every day at least, to hear a little song, read a good poem, see a fine picture.</t>
  </si>
  <si>
    <t>Proust</t>
  </si>
  <si>
    <t>마르셀 프루스트</t>
  </si>
  <si>
    <t>Marcel Proust</t>
  </si>
  <si>
    <t>진정한 발견의 항해는 새로운 풍경을 찾는 것이 아니라 새로운 눈을 갖는 것에 있다.</t>
  </si>
  <si>
    <t>The real voyage of discovery consists not in seeking new landscapes, but in having new eyes.</t>
  </si>
  <si>
    <t>Rilke</t>
  </si>
  <si>
    <t>라이너 마리아 릴케</t>
  </si>
  <si>
    <t>Rainer Maria Rilke</t>
  </si>
  <si>
    <t>사랑은 두 개의 고독이 만나 서로를 보호하고 인사하는 것이다.</t>
  </si>
  <si>
    <t>Love consists of this: two solitudes that meet, protect and greet each other.</t>
  </si>
  <si>
    <t>내가 이해하는 모든 것은 오직 내가 사랑하기 때문에 이해하는 것이다.</t>
  </si>
  <si>
    <t>All, everything that I understand, I understand only because I love.</t>
  </si>
  <si>
    <t>Dostoevsky</t>
  </si>
  <si>
    <t>표도르 도스토옙스키</t>
  </si>
  <si>
    <t>Fyodor Dostoevsky</t>
  </si>
  <si>
    <t>누군가를 사랑한다는 것은 신이 의도한 대로 그들을 본다는 뜻이다.</t>
  </si>
  <si>
    <t>To love someone means to see them as God intended them.</t>
  </si>
  <si>
    <t>Tagore</t>
  </si>
  <si>
    <t>라빈드라나트 타고르</t>
  </si>
  <si>
    <t>Rabindranath Tagore</t>
  </si>
  <si>
    <t>사랑은 단순한 충동이 아니다. 거기에는 법칙인 진실이 담겨 있어야 한다.</t>
  </si>
  <si>
    <t>Love is not a mere impulse; it must contain truth, which is law.</t>
  </si>
  <si>
    <t>Gibran</t>
  </si>
  <si>
    <t>칼릴 지브란</t>
  </si>
  <si>
    <t>Kahlil Gibran</t>
  </si>
  <si>
    <t>서로 사랑하되, 사랑의 구속을 만들지는 마라.</t>
  </si>
  <si>
    <t>Love one another, but make not a bond of love.</t>
  </si>
  <si>
    <t>Browning</t>
  </si>
  <si>
    <t>로버트 브라우닝</t>
  </si>
  <si>
    <t>Robert Browning</t>
  </si>
  <si>
    <t>나와 함께 나이 들어가자! 가장 좋은 날은 아직 오지 않았다.</t>
  </si>
  <si>
    <t>Grow old along with me! The best is yet to be.</t>
  </si>
  <si>
    <t>Neruda</t>
  </si>
  <si>
    <t>파블로 네루다</t>
  </si>
  <si>
    <t>Pablo Neruda</t>
  </si>
  <si>
    <t>나는 어두운 것들이 비밀스럽게, 그림자와 영혼 사이에서 사랑받는 것처럼 당신을 사랑한다.</t>
  </si>
  <si>
    <t>I love you as certain dark things are to be loved, in secret, between the shadow and the soul.</t>
  </si>
  <si>
    <t>사랑이 닿으면 누구나 시인이 된다.</t>
  </si>
  <si>
    <t>At the touch of love everyone becomes a poet.</t>
  </si>
  <si>
    <t>Laozi</t>
  </si>
  <si>
    <t>노자</t>
  </si>
  <si>
    <t>누군가에게 깊이 사랑받으면 힘이 생기고, 누군가를 깊이 사랑하면 용기가 생긴다.</t>
  </si>
  <si>
    <t>Being deeply loved by someone gives you strength, while loving someone deeply gives you courage.</t>
  </si>
  <si>
    <t>삶은 사랑이라는 꿀을 품은 꽃이다.</t>
  </si>
  <si>
    <t>Life is the flower for which love is the honey.</t>
  </si>
  <si>
    <t>Hesse</t>
  </si>
  <si>
    <t>헤르만 헤세</t>
  </si>
  <si>
    <t>Hermann Hesse</t>
  </si>
  <si>
    <t>내가 사랑이 무엇인지 안다면, 그것은 당신 덕분이다.</t>
  </si>
  <si>
    <t>If I know what love is, it is because of you.</t>
  </si>
  <si>
    <t>Fromm</t>
  </si>
  <si>
    <t>에리히 프롬</t>
  </si>
  <si>
    <t>Erich Fromm</t>
  </si>
  <si>
    <t>성숙한 사랑은 말한다. '당신을 사랑하기 때문에 당신이 필요하다'고.</t>
  </si>
  <si>
    <t>Mature love says: 'I need you because I love you.'</t>
  </si>
  <si>
    <t>Sand</t>
  </si>
  <si>
    <t>조르주 상드</t>
  </si>
  <si>
    <t>George Sand</t>
  </si>
  <si>
    <t>이 삶에서 단 하나의 행복은 사랑하고 사랑받는 것이다.</t>
  </si>
  <si>
    <t>There is only one happiness in this life, to love and be loved.</t>
  </si>
  <si>
    <t>Keats</t>
  </si>
  <si>
    <t>존 키츠</t>
  </si>
  <si>
    <t>John Keats</t>
  </si>
  <si>
    <t>사랑은 나의 종교이다. 나는 그것을 위해 죽을 수 있다.</t>
  </si>
  <si>
    <t>Love is my religion - I could die for that.</t>
  </si>
  <si>
    <t>강렬한 사랑은 재지 않는다. 그저 줄 뿐이다.</t>
  </si>
  <si>
    <t>Intense love does not measure, it just gives.</t>
  </si>
  <si>
    <t>사랑은 그것을 주는 사람에게 남겨진 유일한 보상이다.</t>
  </si>
  <si>
    <t>Love is its own reward.</t>
  </si>
  <si>
    <t>Brontë</t>
  </si>
  <si>
    <t>에밀리 브론테</t>
  </si>
  <si>
    <t>Emily Brontë</t>
  </si>
  <si>
    <t>영혼이 무엇으로 만들어졌든, 그의 영혼과 내 영혼은 같다.</t>
  </si>
  <si>
    <t>Whatever our souls are made of, his and mine are the same.</t>
  </si>
  <si>
    <t>Aquinas</t>
  </si>
  <si>
    <t>토마스 아퀴나스</t>
  </si>
  <si>
    <t>Thomas Aquinas</t>
  </si>
  <si>
    <t>이 세상에 진정한 우정보다 더 가치 있는 것은 없다.</t>
  </si>
  <si>
    <t>There is nothing on this earth more to be prized than true friendship.</t>
  </si>
  <si>
    <t>친구가 되고자 하는 마음은 빨리 생기지만, 우정은 천천히 익는 과일이다.</t>
  </si>
  <si>
    <t>Wishing to be friends is quick work, but friendship is a slow ripening fruit.</t>
  </si>
  <si>
    <t>Montaigne</t>
  </si>
  <si>
    <t>미셸 드 몽테뉴</t>
  </si>
  <si>
    <t>Michel de Montaigne</t>
  </si>
  <si>
    <t>우정은 사회에서 가장 높은 수준의 완벽함이다.</t>
  </si>
  <si>
    <t>Friendship is the highest degree of perfection in society.</t>
  </si>
  <si>
    <t>친구를 얻는 유일한 방법은 스스로 친구가 되는 것이다.</t>
  </si>
  <si>
    <t>The only way to have a friend is to be one.</t>
  </si>
  <si>
    <t>거리는 멀지 몰라도 마음은 결코 멀어지지 않는 것이 친구다.</t>
  </si>
  <si>
    <t>True friends are never apart, maybe in distance but never in heart.</t>
  </si>
  <si>
    <t>우리를 행복하게 해주는 친구들에게 감사하자. 그들은 우리 영혼을 꽃피우는 매력적인 정원사들이다.</t>
  </si>
  <si>
    <t>Let us be grateful to the people who make us happy; they are the charming gardeners who make our souls blossom.</t>
  </si>
  <si>
    <t>Zhuangzi</t>
  </si>
  <si>
    <t>장자</t>
  </si>
  <si>
    <t>군자의 사귐은 물처럼 담담하다.</t>
  </si>
  <si>
    <t>The friendship of a gentleman is insipid as water.</t>
  </si>
  <si>
    <t>Bacon</t>
  </si>
  <si>
    <t>프랜시스 베이컨</t>
  </si>
  <si>
    <t>Francis Bacon</t>
  </si>
  <si>
    <t>친구가 없는 세상은 단지 황야일 뿐이다.</t>
  </si>
  <si>
    <t>Without friends, the world is but a wilderness.</t>
  </si>
  <si>
    <t>Epicurus</t>
  </si>
  <si>
    <t>에피쿠로스</t>
  </si>
  <si>
    <t>우리를 돕는 것은 친구들의 실제 도움이 아니라, 그들이 도와줄 것이라는 굳건한 믿음이다.</t>
  </si>
  <si>
    <t>It is not so much our friends' help that helps us, as the confidence of their help.</t>
  </si>
  <si>
    <t>내 앞에서 걷지 마라, 나는 따라가지 않을지도 모른다. 그저 내 곁에서 걸으며 내 친구가 되어 달라.</t>
  </si>
  <si>
    <t>Don't walk in front of me; I may not follow. Just walk beside me and be my friend.</t>
  </si>
  <si>
    <t>Washington</t>
  </si>
  <si>
    <t>조지 워싱턴</t>
  </si>
  <si>
    <t>George Washington</t>
  </si>
  <si>
    <t>진정한 우정은 천천히 자라는 식물이다.</t>
  </si>
  <si>
    <t>True friendship is a plant of slow growth.</t>
  </si>
  <si>
    <t>Pythagoras</t>
  </si>
  <si>
    <t>피타고라스</t>
  </si>
  <si>
    <t>친구는 모든 것을 공유한다.</t>
  </si>
  <si>
    <t>Friends share all things.</t>
  </si>
  <si>
    <t>Plutarch</t>
  </si>
  <si>
    <t>플루타르코스</t>
  </si>
  <si>
    <t>내가 고개를 끄덕일 때 똑같이 끄덕이는 친구는 필요 없다. 내 그림자가 훨씬 더 잘하기 때문이다.</t>
  </si>
  <si>
    <t>I don't need a friend who nods when I nod; my shadow does that much better.</t>
  </si>
  <si>
    <t>Hubbard</t>
  </si>
  <si>
    <t>엘버트 허버드</t>
  </si>
  <si>
    <t>Elbert Hubbard</t>
  </si>
  <si>
    <t>친구란 당신에 대해 모든 것을 알고 있으면서도 여전히 당신을 사랑하는 사람이다.</t>
  </si>
  <si>
    <t>A friend is someone who knows all about you and still loves you.</t>
  </si>
  <si>
    <t>사랑의 부족이 아니라 우정의 부족이 불행한 결혼을 만든다.</t>
  </si>
  <si>
    <t>It is not a lack of love, but a lack of friendship that makes unhappy marriages.</t>
  </si>
  <si>
    <t>진정한 우정의 가장 아름다운 자질 중 하나는 이해하고 이해받는 것이다.</t>
  </si>
  <si>
    <t>One of the most beautiful qualities of true friendship is to understand and to be understood.</t>
  </si>
  <si>
    <t>Cervantes</t>
  </si>
  <si>
    <t>미겔 데 세르반테스</t>
  </si>
  <si>
    <t>Miguel de Cervantes</t>
  </si>
  <si>
    <t>나에게 네가 누구와 어울리는지 말해준다면, 네가 어떤 사람인지 말해주겠다.</t>
  </si>
  <si>
    <t>Tell me thy company, and I will tell thee what thou art.</t>
  </si>
  <si>
    <t>경영은 일을 올바르게 하는 것이고, 리더십은 올바른 일을 하는 것이다.</t>
  </si>
  <si>
    <t>Management is doing things right; leadership is doing the right things.</t>
  </si>
  <si>
    <t>팀워크란 공통의 비전을 향해 함께 일하는 능력이다.</t>
  </si>
  <si>
    <t>Teamwork is the ability to work together toward a common vision.</t>
  </si>
  <si>
    <t>품질이란 아무도 보지 않을 때 올바르게 일하는 것을 의미한다.</t>
  </si>
  <si>
    <t>Quality means doing it right when no one is looking.</t>
  </si>
  <si>
    <t>디테일은 중요하다. 제대로 하기 위해 기다릴 가치가 있다.</t>
  </si>
  <si>
    <t>Details matter, it's worth waiting to get it right.</t>
  </si>
  <si>
    <t>나는 내 자신의 노력 100%보다 100명의 노력에서 1%씩 얻는 것을 택하겠다.</t>
  </si>
  <si>
    <t>I would rather earn 1% off a 100 people's efforts than 100% of my own efforts.</t>
  </si>
  <si>
    <t>가격은 당신이 지불하는 것이고, 가치는 당신이 얻는 것이다.</t>
  </si>
  <si>
    <t>Price is what you pay. Value is what you get.</t>
  </si>
  <si>
    <t>가장 불만이 많은 고객이 가장 큰 배움의 원천이다.</t>
  </si>
  <si>
    <t>Your most unhappy customers are your greatest source of learning.</t>
  </si>
  <si>
    <t>Tzu</t>
  </si>
  <si>
    <t>전술 없는 전략은 승리로 가는 가장 느린 길이다. 전략 없는 전술은 패배 전의 소음일 뿐이다.</t>
  </si>
  <si>
    <t>Strategy without tactics is the slowest route to victory. Tactics without strategy is the noise before defeat.</t>
  </si>
  <si>
    <t>Machiavelli</t>
  </si>
  <si>
    <t>니콜로 마키아벨리</t>
  </si>
  <si>
    <t>Niccolò Machiavelli</t>
  </si>
  <si>
    <t>지도자의 지능을 평가하는 첫 번째 방법은 그 주변에 있는 사람들을 보는 것이다.</t>
  </si>
  <si>
    <t>The first method for estimating the intelligence of a ruler is to look at the men he has around him.</t>
  </si>
  <si>
    <t>부드럽게 말하되 큰 몽둥이를 지니고 다녀라. 그러면 멀리 갈 것이다.</t>
  </si>
  <si>
    <t>Speak softly and carry a big stick; you will go far.</t>
  </si>
  <si>
    <t>시간은 가장 희소한 자원이며, 이를 관리하지 않으면 다른 어떤 것도 관리할 수 없다.</t>
  </si>
  <si>
    <t>Time is the scarcest resource and unless it is managed nothing else can be managed.</t>
  </si>
  <si>
    <t>Walton</t>
  </si>
  <si>
    <t>샘 월튼</t>
  </si>
  <si>
    <t>Sam Walton</t>
  </si>
  <si>
    <t>뛰어난 리더는 직원들의 자존감을 높이기 위해 각별히 노력한다.</t>
  </si>
  <si>
    <t>Outstanding leaders go out of their way to boost the self-esteem of their personnel.</t>
  </si>
  <si>
    <t>Deming</t>
  </si>
  <si>
    <t>에드워즈 데밍</t>
  </si>
  <si>
    <t>W. Edwards Deming</t>
  </si>
  <si>
    <t>변화가 필수적인 것은 아니다. 생존 역시 의무는 아니기 때문이다.</t>
  </si>
  <si>
    <t>It is not necessary to change. Survival is not mandatory.</t>
  </si>
  <si>
    <t>Iacocca</t>
  </si>
  <si>
    <t>리 아이아코카</t>
  </si>
  <si>
    <t>Lee Iacocca</t>
  </si>
  <si>
    <t>경영이란 다른 사람들에게 동기를 부여하는 것 그 이상도 이하도 아니다.</t>
  </si>
  <si>
    <t>Management is nothing more than motivating other people.</t>
  </si>
  <si>
    <t>Sinek</t>
  </si>
  <si>
    <t>사이먼 시넥</t>
  </si>
  <si>
    <t>Simon Sinek</t>
  </si>
  <si>
    <t>리더십은 책임지는 자리에 있는 것이 아니다. 맡은 사람들을 돌보는 것이다.</t>
  </si>
  <si>
    <t>Leadership is not about being in charge. It is about taking care of those in your charge.</t>
  </si>
  <si>
    <t>직원들이 떠날 수 있을 만큼 훈련시키고, 떠나고 싶지 않을 만큼 잘 대우하라.</t>
  </si>
  <si>
    <t>Train people well enough so they can leave, treat them well enough so they don't want to.</t>
  </si>
  <si>
    <t>Grove</t>
  </si>
  <si>
    <t>앤디 그로브</t>
  </si>
  <si>
    <t>Andy Grove</t>
  </si>
  <si>
    <t>오직 편집광만이 살아남는다.</t>
  </si>
  <si>
    <t>Only the paranoid survive.</t>
  </si>
  <si>
    <t>젊음은 젊은이들에게 낭비된다.</t>
  </si>
  <si>
    <t>Youth is wasted on the young.</t>
  </si>
  <si>
    <t>당신 자신이 되어라. 다른 사람들은 이미 다 차지되었다.</t>
  </si>
  <si>
    <t>Be yourself; everyone else is already taken.</t>
  </si>
  <si>
    <t>진실을 말하면 아무것도 기억할 필요가 없다.</t>
  </si>
  <si>
    <t>If you tell the truth, you don't have to remember anything.</t>
  </si>
  <si>
    <t>영리한 사람은 문제를 해결하지만, 지혜로운 사람은 문제를 피한다.</t>
  </si>
  <si>
    <t>A clever person solves a problem. A wise person avoids it.</t>
  </si>
  <si>
    <t>와인은 신이 우리를 사랑하고 우리가 행복해하는 모습을 보기 좋아한다는 증거이다.</t>
  </si>
  <si>
    <t>Wine is constant proof that God loves us and loves to see us happy.</t>
  </si>
  <si>
    <t>천사들이 날 수 있는 이유는 스스로를 가볍게 여기기 때문이다.</t>
  </si>
  <si>
    <t>The reason angels can fly is because they take themselves lightly.</t>
  </si>
  <si>
    <t>Rogers</t>
  </si>
  <si>
    <t>윌 로저스</t>
  </si>
  <si>
    <t>Will Rogers</t>
  </si>
  <si>
    <t>올바른 궤도에 올랐다 해도 가만히 앉아 있으면 치일 것이다.</t>
  </si>
  <si>
    <t>Even if you are on the right track, you will get run over if you just sit there.</t>
  </si>
  <si>
    <t>Allen</t>
  </si>
  <si>
    <t>우디 앨런</t>
  </si>
  <si>
    <t>Woody Allen</t>
  </si>
  <si>
    <t>나는 죽음이 두렵지 않다. 다만 그 일이 일어날 때 그곳에 있고 싶지 않을 뿐이다.</t>
  </si>
  <si>
    <t>I'm not afraid of death; I just don't want to be there when it happens.</t>
  </si>
  <si>
    <t>Marx</t>
  </si>
  <si>
    <t>그루초 막스</t>
  </si>
  <si>
    <t>Groucho Marx</t>
  </si>
  <si>
    <t>나는 나를 회원으로 받아주는 클럽에는 가입하지 않겠다.</t>
  </si>
  <si>
    <t>I refuse to join any club that would have me as a member.</t>
  </si>
  <si>
    <t>이것이 내 원칙이다. 마음에 들지 않는다면, 글쎄, 다른 원칙도 있다.</t>
  </si>
  <si>
    <t>Those are my principles, and if you don't like them... well, I have others.</t>
  </si>
  <si>
    <t>Wodehouse</t>
  </si>
  <si>
    <t>P.G. 우드하우스</t>
  </si>
  <si>
    <t>P.G. Wodehouse</t>
  </si>
  <si>
    <t>나는 항상 사람들에게 절대 충고하지 말라고 충고한다.</t>
  </si>
  <si>
    <t>I always advise people never to give advice.</t>
  </si>
  <si>
    <t>삶을 너무 심각하게 받아들이지 마라. 어차피 살아서 빠져나가지 못할 것이다.</t>
  </si>
  <si>
    <t>Do not take life too seriously. You will never get out of it alive.</t>
  </si>
  <si>
    <t>Benchley</t>
  </si>
  <si>
    <t>로버트 벤츨리</t>
  </si>
  <si>
    <t>Robert Benchley</t>
  </si>
  <si>
    <t>그 순간 해야 할 일이 아니라면 누구나 어떤 일이든 할 수 있다.</t>
  </si>
  <si>
    <t>Anyone can do any amount of work, provided it isn't the work he is supposed to be doing at that moment.</t>
  </si>
  <si>
    <t>하루 8시간 성실히 일하면 결국 사장이 되어 하루 12시간을 일하게 될 것이다.</t>
  </si>
  <si>
    <t>By working faithfully eight hours a day you may eventually get to be boss and work twelve hours a day.</t>
  </si>
  <si>
    <t>Asimov</t>
  </si>
  <si>
    <t>아이작 아시모프</t>
  </si>
  <si>
    <t>Isaac Asimov</t>
  </si>
  <si>
    <t>과학에서 새로운 발견을 알리는 가장 흥미로운 말은 '유레카!'가 아니라 '재미있네...'이다.</t>
  </si>
  <si>
    <t>The most exciting phrase to hear in science is not 'Eureka!' but 'That's funny...'</t>
  </si>
  <si>
    <t>Barry</t>
  </si>
  <si>
    <t>데이브 배리</t>
  </si>
  <si>
    <t>Dave Barry</t>
  </si>
  <si>
    <t>어떤 상황에서도 같은 날 밤에 수면제와 하제를 동시에 복용하지 마라.</t>
  </si>
  <si>
    <t>Never under any circumstances take a sleeping pill and a laxative on the same night.</t>
  </si>
  <si>
    <t>아는 것이 힘이다.</t>
  </si>
  <si>
    <t>Knowledge is power.</t>
  </si>
  <si>
    <t>지적 성장은 태어날 때 시작되어 죽을 때만 멈춰야 한다.</t>
  </si>
  <si>
    <t>Intellectual growth should commence at birth and cease only at death.</t>
  </si>
  <si>
    <t>Dewey</t>
  </si>
  <si>
    <t>존 듀이</t>
  </si>
  <si>
    <t>John Dewey</t>
  </si>
  <si>
    <t>교육은 삶을 위한 준비가 아니다. 교육은 삶 그 자체이다.</t>
  </si>
  <si>
    <t>Education is not preparation for life; education is life itself.</t>
  </si>
  <si>
    <t>교육은 불꽃을 피우는 것이지 그릇을 채우는 것이 아니다.</t>
  </si>
  <si>
    <t>Education is the kindling of a flame, not the filling of a vessel.</t>
  </si>
  <si>
    <t>강제로 얻은 지식은 마음에 남지 않는다.</t>
  </si>
  <si>
    <t>Knowledge which is acquired under compulsion obtains no hold on the mind.</t>
  </si>
  <si>
    <t>마음을 교육하지 않고 이성만 교육하는 것은 전혀 교육이 아니다.</t>
  </si>
  <si>
    <t>Educating the mind without educating the heart is no education at all.</t>
  </si>
  <si>
    <t>말해주면 잊어버리고, 가르쳐주면 기억하지만, 참여하게 하면 배운다.</t>
  </si>
  <si>
    <t>Tell me and I forget. Teach me and I remember. Involve me and I learn.</t>
  </si>
  <si>
    <t>지능에 인격을 더하는 것, 그것이 진정한 교육의 목표이다.</t>
  </si>
  <si>
    <t>Intelligence plus character—that is the goal of true education.</t>
  </si>
  <si>
    <t>X</t>
  </si>
  <si>
    <t>말콤 X</t>
  </si>
  <si>
    <t>Malcolm X</t>
  </si>
  <si>
    <t>교육은 미래로 가는 여권이다. 내일은 오늘을 준비하는 사람들의 것이기 때문이다.</t>
  </si>
  <si>
    <t>Education is the passport to the future, for tomorrow belongs to those who prepare for it today.</t>
  </si>
  <si>
    <t>Popper</t>
  </si>
  <si>
    <t>칼 포퍼</t>
  </si>
  <si>
    <t>Karl Popper</t>
  </si>
  <si>
    <t>진정한 무지는 지식의 부재가 아니라 그것을 얻기를 거부하는 것이다.</t>
  </si>
  <si>
    <t>True ignorance is not the absence of knowledge, but the refusal to acquire it.</t>
  </si>
  <si>
    <t>Galilei</t>
  </si>
  <si>
    <t>갈릴레오 갈릴레이</t>
  </si>
  <si>
    <t>Galileo Galilei</t>
  </si>
  <si>
    <t>모든 진리는 한 번 발견되면 이해하기 쉽다. 중요한 것은 그것을 발견하는 것이다.</t>
  </si>
  <si>
    <t>All truths are easy to understand once they are discovered; the point is to discover them.</t>
  </si>
  <si>
    <t>모든 좋은 책을 읽는 것은 지난 세기의 가장 훌륭한 사람들과 대화하는 것과 같다.</t>
  </si>
  <si>
    <t>The reading of all good books is like conversation with the finest men of past centuries.</t>
  </si>
  <si>
    <t>Curie</t>
  </si>
  <si>
    <t>마리 퀴리</t>
  </si>
  <si>
    <t>Marie Curie</t>
  </si>
  <si>
    <t>사람에 대해 덜 호기심을 갖고, 아이디어에 대해 더 호기심을 가져라.</t>
  </si>
  <si>
    <t>Be less curious about people and more curious about ideas.</t>
  </si>
  <si>
    <t>생각하는 것은 어렵다. 그래서 대부분의 사람들은 그저 판단해 버린다.</t>
  </si>
  <si>
    <t>Thinking is difficult, that's why most people judge.</t>
  </si>
  <si>
    <t>Mencius</t>
  </si>
  <si>
    <t>맹자</t>
  </si>
  <si>
    <t>위대한 사람은 어린아이의 마음을 잃지 않는 사람이다.</t>
  </si>
  <si>
    <t>The great man is he who does not lose his child's-heart.</t>
  </si>
  <si>
    <t>Montessori</t>
  </si>
  <si>
    <t>마리아 몬테소리</t>
  </si>
  <si>
    <t>Maria Montessori</t>
  </si>
  <si>
    <t>놀이는 아이의 일이다.</t>
  </si>
  <si>
    <t>Play is the work of the child.</t>
  </si>
  <si>
    <t>어디를 가든지 마음을 다해 가라.</t>
  </si>
  <si>
    <t>Wherever you go, go with all your heart.</t>
  </si>
  <si>
    <t>Huxley</t>
  </si>
  <si>
    <t>토머스 헉슬리</t>
  </si>
  <si>
    <t>Thomas Huxley</t>
  </si>
  <si>
    <t>인생의 가장 큰 목적은 지식이 아니라 행동이다.</t>
  </si>
  <si>
    <t>The great end of life is not knowledge but action.</t>
  </si>
  <si>
    <t>새는 알에서 나오기 위해 투쟁한다.</t>
  </si>
  <si>
    <t>The bird fights its way out of the egg.</t>
  </si>
  <si>
    <t>Schiller</t>
  </si>
  <si>
    <t>프리드리히 실러</t>
  </si>
  <si>
    <t>Friedrich Schiller</t>
  </si>
  <si>
    <t>별을 잡으려고 손을 뻗는 사람은 발밑의 꽃을 잊는다.</t>
  </si>
  <si>
    <t>He who reaches for the stars often forgets the flowers at his feet.</t>
  </si>
  <si>
    <t>진정한 관대함은 미래를 위해 모든 것을 현재에 바치는 것이다.</t>
  </si>
  <si>
    <t>Real generosity towards the future lies in giving all to the present.</t>
  </si>
  <si>
    <t>우리가 삶이 짧은 것이 아니라, 우리가 많은 시간을 낭비하는 것이다.</t>
  </si>
  <si>
    <t>It is not that we have a short time to live, but that we waste a lot of it.</t>
  </si>
  <si>
    <t>여정이 바로 보상이다.</t>
  </si>
  <si>
    <t>The journey is the reward.</t>
  </si>
  <si>
    <t>Adams</t>
  </si>
  <si>
    <t>더글러스 애덤스</t>
  </si>
  <si>
    <t>Douglas Adams</t>
  </si>
  <si>
    <t>나는 마감 기한을 사랑한다. 마감 기한이 휙 하고 지나갈 때 나는 소리가 너무 좋다.</t>
  </si>
  <si>
    <t>I love deadlines. I love the whooshing noise they make as they go by.</t>
  </si>
  <si>
    <t>Saint-Exupéry</t>
  </si>
  <si>
    <t>완벽함은 더 이상 보탤 것이 없을 때가 아니라 더 이상 뺄 것이 없을 때 완성된다.</t>
  </si>
  <si>
    <t>Perfection is achieved, not when there is nothing more to add, but when there is nothing left to take away.</t>
  </si>
  <si>
    <t>Lennon</t>
  </si>
  <si>
    <t>존 레논</t>
  </si>
  <si>
    <t>John Lennon</t>
  </si>
  <si>
    <t>인생이란 네가 다른 계획을 세우느라 바쁠 때 너에게 일어나는 일이다.</t>
  </si>
  <si>
    <t>Life is what happens when you're busy making other plans.</t>
  </si>
  <si>
    <t>Hepburn</t>
  </si>
  <si>
    <t>오드리 헵번</t>
  </si>
  <si>
    <t>Audrey Hepburn</t>
  </si>
  <si>
    <t>가장 중요한 것은 인생을 즐기는 것, 즉 행복해지는 것이다. 그것이 전부다.</t>
  </si>
  <si>
    <t>The most important thing is to enjoy your life—to be happy—it's all that matters.</t>
  </si>
  <si>
    <t>Marley</t>
  </si>
  <si>
    <t>밥 말리</t>
  </si>
  <si>
    <t>Bob Marley</t>
  </si>
  <si>
    <t>네가 살고 있는 삶을 사랑하라. 네가 사랑하는 삶을 살아라.</t>
  </si>
  <si>
    <t>Love the life you live. Live the life you love.</t>
  </si>
  <si>
    <t>Schweitzer</t>
  </si>
  <si>
    <t>알베르트 슈바이처</t>
  </si>
  <si>
    <t>Albert Schweitzer</t>
  </si>
  <si>
    <t>성공이 행복의 열쇠가 아니다. 행복이 성공의 열쇠이다.</t>
  </si>
  <si>
    <t>Success is not the key to happiness. Happiness is the key to success.</t>
  </si>
  <si>
    <t>엘리너 루스벨트</t>
  </si>
  <si>
    <t>Eleanor Roosevelt</t>
  </si>
  <si>
    <t>당신의 허락 없이는 아무도 당신이 열등감을 느끼게 만들 수 없다.</t>
  </si>
  <si>
    <t>No one can make you feel inferior without your consent.</t>
  </si>
  <si>
    <t>태도란 작은 것이지만 큰 차이를 만든다.</t>
  </si>
  <si>
    <t>Attitude is a little thing that makes a big difference.</t>
  </si>
  <si>
    <t>세상에서 보고 싶은 변화가 있다면 스스로 그 변화가 되어라.</t>
  </si>
  <si>
    <t>Be the change that you wish to see in the world.</t>
  </si>
  <si>
    <t>삶은 길이가 아니라 깊이로 측정된다.</t>
  </si>
  <si>
    <t>As is a tale, so is life: not how long it is, but how good it is, is what matters.</t>
  </si>
  <si>
    <t>Sagan</t>
  </si>
  <si>
    <t>칼 세이건</t>
  </si>
  <si>
    <t>Carl Sagan</t>
  </si>
  <si>
    <t>우리는 우주가 자신을 아는 방법이다.</t>
  </si>
  <si>
    <t>We are a way for the cosmos to know itself.</t>
  </si>
  <si>
    <t>사물은 변하지 않는다. 우리가 변한다.</t>
  </si>
  <si>
    <t>Things do not change; we change.</t>
  </si>
  <si>
    <t>자연은 헛된 일을 하지 않는다.</t>
  </si>
  <si>
    <t>Nature does nothing uselessly.</t>
  </si>
  <si>
    <t>Winchell</t>
  </si>
  <si>
    <t>월터 윈첼</t>
  </si>
  <si>
    <t>Walter Winchell</t>
  </si>
  <si>
    <t>진정한 친구는 세상 모든 사람이 내곁을 떠날 때 내게 다가오는 사람이다.</t>
  </si>
  <si>
    <t>A real friend is one who walks in when the rest of the world walks out.</t>
  </si>
  <si>
    <t>대부분의 사람들이 기회를 놓치는 이유는 기회가 작업복 차림의 일거리처럼 보이기 때문이다.</t>
  </si>
  <si>
    <t>Opportunity is missed by most people because it is dressed in overalls and looks like work.</t>
  </si>
  <si>
    <t>Ovid</t>
  </si>
  <si>
    <t>오비디우스</t>
  </si>
  <si>
    <t>사랑하고 싶다면 사랑받을 만한 사람이 되어라.</t>
  </si>
  <si>
    <t>If you want to be loved, be lovable.</t>
  </si>
  <si>
    <t>사랑이 없는 곳에는 삶도 없다.</t>
  </si>
  <si>
    <t>Where there is no love, there is no life.</t>
  </si>
  <si>
    <t>Coelho</t>
  </si>
  <si>
    <t>파울로 코엘료</t>
  </si>
  <si>
    <t>Paulo Coelho</t>
  </si>
  <si>
    <t>누군가를 사랑할 때, 우주 전체가 당신이 그 사람을 찾도록 돕는다.</t>
  </si>
  <si>
    <t>When you love someone, the entire universe conspires in helping you to find them.</t>
  </si>
  <si>
    <t>Kundera</t>
  </si>
  <si>
    <t>밀란 쿤데라</t>
  </si>
  <si>
    <t>Milan Kundera</t>
  </si>
  <si>
    <t>사랑은 은유로 시작된다.</t>
  </si>
  <si>
    <t>Love begins with a metaphor.</t>
  </si>
  <si>
    <t>참다운 사랑은 무한하다. 주면 줄수록 더 많이 갖게 된다.</t>
  </si>
  <si>
    <t>True love is inexhaustible; the more you give, the more you have.</t>
  </si>
  <si>
    <t>아이리스 머독</t>
  </si>
  <si>
    <t>Iris Murdoch</t>
  </si>
  <si>
    <t>우리는 다른 사람을 사랑함으로써 우리 자신을 배운다.</t>
  </si>
  <si>
    <t>We can only learn to love by loving.</t>
  </si>
  <si>
    <t>다른 마음이 속삭여줄 때까지, 모든 마음은 미완성의 노래를 부른다.</t>
  </si>
  <si>
    <t>Every heart sings a song, incomplete, until another heart whispers back.</t>
  </si>
  <si>
    <t>사랑을 빼앗아 보라, 우리 지구는 하나의 무덤이 된다.</t>
  </si>
  <si>
    <t>Take away love and our earth is a tomb.</t>
  </si>
  <si>
    <t>Dickens</t>
  </si>
  <si>
    <t>찰스 디킨스</t>
  </si>
  <si>
    <t>Charles Dickens</t>
  </si>
  <si>
    <t>사랑하는 마음은 가장 참된 지혜이다.</t>
  </si>
  <si>
    <t>A loving heart is the truest wisdom.</t>
  </si>
  <si>
    <t>Tennyson</t>
  </si>
  <si>
    <t>알프레드 테니슨</t>
  </si>
  <si>
    <t>Alfred Tennyson</t>
  </si>
  <si>
    <t>사랑하고 잃는 것이 아예 사랑하지 않은 것보다 낫다.</t>
  </si>
  <si>
    <t>It's better to have loved and lost than never to have loved at all.</t>
  </si>
  <si>
    <t>사랑은 모든 것을 지배하지는 않지만, 모든 것을 형성한다.</t>
  </si>
  <si>
    <t>Love does not dominate; it cultivates.</t>
  </si>
  <si>
    <t>Fitzgerald</t>
  </si>
  <si>
    <t>F. 스콧 피츠제럴드</t>
  </si>
  <si>
    <t>F. Scott Fitzgerald</t>
  </si>
  <si>
    <t>당신이 사랑하는 방식에 한계란 없다.</t>
  </si>
  <si>
    <t>There are all kinds of love in this world but never the same love twice.</t>
  </si>
  <si>
    <t>중력은 사람들이 사랑에 빠지는 것에 책임이 없다.</t>
  </si>
  <si>
    <t>Gravitation is not responsible for people falling in love.</t>
  </si>
  <si>
    <t>진실한 사랑은 불멸이다.</t>
  </si>
  <si>
    <t>Honest love is immortal.</t>
  </si>
  <si>
    <t>깊이 사랑하는 모든 것은 우리 자신의 일부가 된다.</t>
  </si>
  <si>
    <t>All that we love deeply becomes a part of us.</t>
  </si>
  <si>
    <t>Sparks</t>
  </si>
  <si>
    <t>니콜라스 스파크스</t>
  </si>
  <si>
    <t>Nicholas Sparks</t>
  </si>
  <si>
    <t>나는 당신을 사랑할 때 가장 나다워진다.</t>
  </si>
  <si>
    <t>I am who I am because of you.</t>
  </si>
  <si>
    <t>Gogh</t>
  </si>
  <si>
    <t>빈센트 반 고흐</t>
  </si>
  <si>
    <t>Vincent Van Gogh</t>
  </si>
  <si>
    <t>더 많이 사랑할수록 더 많은 일을 할 수 있다.</t>
  </si>
  <si>
    <t>The more you love, the more you can do.</t>
  </si>
  <si>
    <t>나는 당신을 어떻게, 언제, 어디서 사랑하게 되었는지 모른 채 사랑한다.</t>
  </si>
  <si>
    <t>I love you without knowing how, or when, or from where.</t>
  </si>
  <si>
    <t>당신이 가진 친구들을 당신의 영혼에 철사로 묶어라.</t>
  </si>
  <si>
    <t>Grapple them to thy soul with hoops of steel.</t>
  </si>
  <si>
    <t>우정은 상처받은 마음을 치유하는 최고의 연고이다.</t>
  </si>
  <si>
    <t>Friendship is certainly the finest balm for the pangs of disappointed love.</t>
  </si>
  <si>
    <t>우정의 영광은 상대방이 당신을 믿어준다는 것이다.</t>
  </si>
  <si>
    <t>The glory of friendship is that someone else believes in you.</t>
  </si>
  <si>
    <t>친구의 잘못은 그냥 두어라.</t>
  </si>
  <si>
    <t>Leave another's fault where it lies.</t>
  </si>
  <si>
    <t>지혜가 준비한 모든 것 중에서 가장 위대한 것은 우정이다.</t>
  </si>
  <si>
    <t>Of all the means to insure happiness, by far the most important is the acquisition of friends.</t>
  </si>
  <si>
    <t>Darwin</t>
  </si>
  <si>
    <t>찰스 다윈</t>
  </si>
  <si>
    <t>Charles Darwin</t>
  </si>
  <si>
    <t>한 사람의 진정한 가치는 그의 친구들에 의해 결정된다.</t>
  </si>
  <si>
    <t>A man's friendships are one of the best measures of his worth.</t>
  </si>
  <si>
    <t>데일 카네기</t>
  </si>
  <si>
    <t>Dale Carnegie</t>
  </si>
  <si>
    <t>다른 사람에게 관심을 가지면 가장 빨리 친구를 사귈 수 있다.</t>
  </si>
  <si>
    <t>You can make more friends in two months by becoming interested in other people.</t>
  </si>
  <si>
    <t>Lewis</t>
  </si>
  <si>
    <t>C.S. 루이스</t>
  </si>
  <si>
    <t>C.S. Lewis</t>
  </si>
  <si>
    <t>우정은 "뭐? 너도 그래? 나만 그런 줄 알았는데!"라고 말하는 순간 태어난다.</t>
  </si>
  <si>
    <t>Friendship is born at that moment when one person says to another: "What! You too? I thought I was the only one."</t>
  </si>
  <si>
    <t>당신이 만나는 모든 사람은 힘든 싸움을 하고 있으니 친절해라.</t>
  </si>
  <si>
    <t>Be kind, for everyone you meet is fighting a harder battle.</t>
  </si>
  <si>
    <t>겁쟁이는 사랑과 우정을 보여줄 능력이 없다. 그것은 용기 있는 자의 특권이다.</t>
  </si>
  <si>
    <t>A coward is incapable of exhibiting love; it is the prerogative of the brave.</t>
  </si>
  <si>
    <t>조그마한 친절이라도 결코 헛되지 않다.</t>
  </si>
  <si>
    <t>No act of kindness, no matter how small, is ever wasted.</t>
  </si>
  <si>
    <t>친구를 고를 때는 천천히 하고, 바꿀 때는 더 천천히 하라.</t>
  </si>
  <si>
    <t>Be slow in choosing a friend, slower in changing.</t>
  </si>
  <si>
    <t>진정한 친구는 앞에서 당신을 찌르는 사람이다.</t>
  </si>
  <si>
    <t>A true friend stabs you in the front.</t>
  </si>
  <si>
    <t>친구를 비판할 때는 개인적으로 하고, 칭찬할 때는 공개적으로 하라.</t>
  </si>
  <si>
    <t>Admonish your friends privately, but praise them openly.</t>
  </si>
  <si>
    <t>Frank</t>
  </si>
  <si>
    <t>안네 프랑크</t>
  </si>
  <si>
    <t>Anne Frank</t>
  </si>
  <si>
    <t>아름다운 눈을 가지려면 다른 사람의 장점을 보아라.</t>
  </si>
  <si>
    <t>For beautiful eyes, look for the good in others.</t>
  </si>
  <si>
    <t>사업의 목적은 고객을 창출하고 유지하는 것이다.</t>
  </si>
  <si>
    <t>The purpose of business is to create and keep a customer.</t>
  </si>
  <si>
    <t>오늘 누군가가 그늘에 쉴 수 있는 이유는 오래전 누군가가 나무를 심었기 때문이다.</t>
  </si>
  <si>
    <t>Someone is sitting in the shade today because someone planted a tree a long time ago.</t>
  </si>
  <si>
    <t>실패는 단지 더 지능적으로 다시 시작할 수 있는 기회일 뿐이다.</t>
  </si>
  <si>
    <t>Failure is simply the opportunity to begin again, this time more intelligently.</t>
  </si>
  <si>
    <t>성공을 자축하는 것도 좋지만, 실패의 교훈에 주의를 기울이는 것이 더 중요하다.</t>
  </si>
  <si>
    <t>It's fine to celebrate success but it is more important to heed the lessons of failure.</t>
  </si>
  <si>
    <t>Bezos</t>
  </si>
  <si>
    <t>제프 베조스</t>
  </si>
  <si>
    <t>Jeff Bezos</t>
  </si>
  <si>
    <t>고집스럽지 않으면 너무 일찍 실험을 포기하게 될 것이다.</t>
  </si>
  <si>
    <t>If you're not stubborn, you'll give up on experiments too soon.</t>
  </si>
  <si>
    <t>Powell</t>
  </si>
  <si>
    <t>콜린 파월</t>
  </si>
  <si>
    <t>Colin Powell</t>
  </si>
  <si>
    <t>성공에는 비밀이 없다. 철저한 준비, 노력, 실패로부터 배운 결과이다.</t>
  </si>
  <si>
    <t>There are no secrets to success. It is the result of preparation, hard work, and learning from failure.</t>
  </si>
  <si>
    <t>위대한 일을 하는 유일한 방법은 당신이 하는 일을 사랑하는 것이다.</t>
  </si>
  <si>
    <t>The only way to do great work is to love what you do.</t>
  </si>
  <si>
    <t>비즈니스 기회는 버스와 같다. 항상 또 다른 버스가 온다.</t>
  </si>
  <si>
    <t>Business opportunities are like buses, there's always another one coming.</t>
  </si>
  <si>
    <t>Kroc</t>
  </si>
  <si>
    <t>레이 크록</t>
  </si>
  <si>
    <t>Ray Kroc</t>
  </si>
  <si>
    <t>리더의 자질은 그들이 스스로 정한 기준에 반영된다.</t>
  </si>
  <si>
    <t>The quality of a leader is reflected in the standards they set for themselves.</t>
  </si>
  <si>
    <t>Musk</t>
  </si>
  <si>
    <t>일론 머스크</t>
  </si>
  <si>
    <t>Elon Musk</t>
  </si>
  <si>
    <t>어떤 일이 충분히 중요하다면, 확률이 당신에게 불리하더라도 그 일을 해야 한다.</t>
  </si>
  <si>
    <t>When something is important enough, you do it even if the odds are not in your favor.</t>
  </si>
  <si>
    <t>우리는 두 가지 고통 중 하나를 겪어야 한다. 규율의 고통이거나 후회의 고통이다.</t>
  </si>
  <si>
    <t>We must all suffer from one of two pains: the pain of discipline or the pain of regret.</t>
  </si>
  <si>
    <t>Ma</t>
  </si>
  <si>
    <t>잭 마</t>
  </si>
  <si>
    <t>Jack Ma</t>
  </si>
  <si>
    <t>오늘 힘들고 내일은 더 힘들겠지만, 모레는 햇살이 비칠 것이다.</t>
  </si>
  <si>
    <t>Today is hard, tomorrow will be worse, but the day after tomorrow will be sunshine.</t>
  </si>
  <si>
    <t>Nadella</t>
  </si>
  <si>
    <t>사티아 나델라</t>
  </si>
  <si>
    <t>Satya Nadella</t>
  </si>
  <si>
    <t>우리의 산업은 전통을 존중하지 않는다. 오직 혁신만을 존중할 뿐이다.</t>
  </si>
  <si>
    <t>Our industry does not respect tradition — it only respects innovation.</t>
  </si>
  <si>
    <t>Ash</t>
  </si>
  <si>
    <t>메리 케이 애시</t>
  </si>
  <si>
    <t>Mary Kay Ash</t>
  </si>
  <si>
    <t>당신의 한계는 오직 당신의 마음속에만 존재한다.</t>
  </si>
  <si>
    <t>Don't limit yourself. You can go as far as your mind lets you.</t>
  </si>
  <si>
    <t>Maxwell</t>
  </si>
  <si>
    <t>존 C. 맥스웰</t>
  </si>
  <si>
    <t>John C. Maxwell</t>
  </si>
  <si>
    <t>리더는 길을 알고, 길을 가며, 길을 보여주는 사람이다.</t>
  </si>
  <si>
    <t>A leader is one who knows the way, goes the way, and shows the way.</t>
  </si>
  <si>
    <t>내일을 위해 할 수 있는 일을 결코 모레로 미루지 마라.</t>
  </si>
  <si>
    <t>Never put off till tomorrow what may be done day after tomorrow just as well.</t>
  </si>
  <si>
    <t>늙는 것의 비극은 늙었다는 것이 아니라 여전히 젊다는 것이다.</t>
  </si>
  <si>
    <t>The tragedy of old age is not that one is old, but that one is young.</t>
  </si>
  <si>
    <t>나는 항상 배울 준비가 되어 있지만, 가르침을 받는 것은 항상 좋아하지 않는다.</t>
  </si>
  <si>
    <t>I am always ready to learn although I do not always like being taught.</t>
  </si>
  <si>
    <t>동물을 사랑하는 이유는 그들이 어리석은 질문이나 비판을 하지 않기 때문이다.</t>
  </si>
  <si>
    <t>I like animals. They don't ask foolish questions and they don't pass criticisms.</t>
  </si>
  <si>
    <t>현실은 단지 환상일 뿐이다. 비록 매우 끈질기긴 하지만.</t>
  </si>
  <si>
    <t>Reality is merely an illusion, albeit a very persistent one.</t>
  </si>
  <si>
    <t>Reagan</t>
  </si>
  <si>
    <t>로널드 레이건</t>
  </si>
  <si>
    <t>Ronald Reagan</t>
  </si>
  <si>
    <t>힘든 일은 아무도 죽이지 않는다고 하지만, 왜 굳이 위험을 무릅쓰겠는가?</t>
  </si>
  <si>
    <t>They say hard work never killed anybody, but I figure why take the chance?</t>
  </si>
  <si>
    <t>Voltaire</t>
  </si>
  <si>
    <t>볼테르</t>
  </si>
  <si>
    <t>상식은 생각보다 흔하지 않다.</t>
  </si>
  <si>
    <t>Common sense is not so common.</t>
  </si>
  <si>
    <t>누군가 TV를 켤 때마다 나는 다른 방으로 가서 책을 읽는다.</t>
  </si>
  <si>
    <t>Every time somebody turns on the set, I go into the other room and read a book.</t>
  </si>
  <si>
    <t>Schulz</t>
  </si>
  <si>
    <t>찰스 슐츠</t>
  </si>
  <si>
    <t>Charles M. Schulz</t>
  </si>
  <si>
    <t>나는 인류를 사랑한다. 내가 참을 수 없는 것은 사람들이다!</t>
  </si>
  <si>
    <t>I love mankind... it's people I can't stand!</t>
  </si>
  <si>
    <t>Fields</t>
  </si>
  <si>
    <t>W.C. 필즈</t>
  </si>
  <si>
    <t>W.C. Fields</t>
  </si>
  <si>
    <t>처음에 성공하지 못했다면 다시 시도해라. 그리고 나서 포기해라.</t>
  </si>
  <si>
    <t>If at first you don't succeed, try, try again. Then quit. No use being a damn fool about it.</t>
  </si>
  <si>
    <t>Christie</t>
  </si>
  <si>
    <t>아가사 크리스티</t>
  </si>
  <si>
    <t>Agatha Christie</t>
  </si>
  <si>
    <t>아내가 늙어갈수록 남편이 더 큰 관심을 갖기에, 고고학자는 최고의 남편이다.</t>
  </si>
  <si>
    <t>An archaeologist is the best husband... The older she gets the more interested he is in her.</t>
  </si>
  <si>
    <t>코끼리 뒷다리를 잡았는데 도망가려고 하면 그냥 놔두는 것이 최선이다.</t>
  </si>
  <si>
    <t>When you have got an elephant by the hind legs and he is trying to run away, it's best to let him run.</t>
  </si>
  <si>
    <t>나는 실패하지 않았다. 단지 작동하지 않는 1만 가지 방법을 발견했을 뿐이다.</t>
  </si>
  <si>
    <t>I have not failed. I've just found 10,000 ways that won't work.</t>
  </si>
  <si>
    <t>Chaplin</t>
  </si>
  <si>
    <t>찰리 채플린</t>
  </si>
  <si>
    <t>Charlie Chaplin</t>
  </si>
  <si>
    <t>웃음 없는 하루는 낭비된 하루이다.</t>
  </si>
  <si>
    <t>A day without laughter is a day wasted.</t>
  </si>
  <si>
    <t>Williams</t>
  </si>
  <si>
    <t>로빈 윌리엄스</t>
  </si>
  <si>
    <t>Robin Williams</t>
  </si>
  <si>
    <t>당신은 약간의 광기라는 불꽃을 받고 태어났다. 그것을 잃지 마라.</t>
  </si>
  <si>
    <t>You're only given a little spark of madness. You mustn't lose it.</t>
  </si>
  <si>
    <t>교육받은 마음의 특징은 어떤 생각을 받아들이지 않고도 그 생각을 즐길 수 있다는 것이다.</t>
  </si>
  <si>
    <t>The mark of an educated mind is to be able to entertain a thought without accepting it.</t>
  </si>
  <si>
    <t>Forbes</t>
  </si>
  <si>
    <t>맬컴 포브스</t>
  </si>
  <si>
    <t>Malcolm Forbes</t>
  </si>
  <si>
    <t>교육의 목적은 빈 마음을 열린 마음으로 바꾸는 것이다.</t>
  </si>
  <si>
    <t>Education's purpose is to replace an empty mind with an open one.</t>
  </si>
  <si>
    <t>우리가 아는 것은 물방울이요, 모르는 것은 바다이다.</t>
  </si>
  <si>
    <t>What we know is a drop, what we don't know is an ocean.</t>
  </si>
  <si>
    <t>사람이 이미 안다고 생각하는 것을 배우기란 불가능하다.</t>
  </si>
  <si>
    <t>It is impossible for a man to learn what he thinks he already knows.</t>
  </si>
  <si>
    <t>열정 없는 공부는 기억력을 망치고, 흡수한 것을 하나도 간직하지 못하게 한다.</t>
  </si>
  <si>
    <t>Study without desire spoils the memory, and it retains nothing that it takes in.</t>
  </si>
  <si>
    <t>교육이란 학교에서 배운 것을 다 잊어버린 후에도 남는 것이다.</t>
  </si>
  <si>
    <t>Education is what remains after one has forgotten what one has learned in school.</t>
  </si>
  <si>
    <t>가장 좋은 책을 먼저 읽어라. 그렇지 않으면 그 책들을 영영 놓칠지도 모른다.</t>
  </si>
  <si>
    <t>Read the best books first, or you may not have a chance to read them at all.</t>
  </si>
  <si>
    <t>King</t>
  </si>
  <si>
    <t>B.B. 킹</t>
  </si>
  <si>
    <t>B.B. King</t>
  </si>
  <si>
    <t>배움의 아름다운 점은 누구도 그것을 당신에게서 빼앗아 갈 수 없다는 것이다.</t>
  </si>
  <si>
    <t>The beautiful thing about learning is that no one can take it away from you.</t>
  </si>
  <si>
    <t>Annan</t>
  </si>
  <si>
    <t>코피 아난</t>
  </si>
  <si>
    <t>Kofi Annan</t>
  </si>
  <si>
    <t>지식은 힘이다. 정보는 해방이다.</t>
  </si>
  <si>
    <t>Knowledge is power. Information is liberating.</t>
  </si>
  <si>
    <t>세 사람이 길을 가면 반드시 나의 스승이 있다.</t>
  </si>
  <si>
    <t>If three of us are walking together, at least one of the other two is good enough to be my teacher.</t>
  </si>
  <si>
    <t>Erasmus</t>
  </si>
  <si>
    <t>에라스무스</t>
  </si>
  <si>
    <t>Desiderius Erasmus</t>
  </si>
  <si>
    <t>나에게 돈이 생기면 책을 산다. 그리고 남는 돈이 있다면 음식과 옷을 산다.</t>
  </si>
  <si>
    <t>When I have a little money, I buy books; and if I have any left, I buy food and clothes.</t>
  </si>
  <si>
    <t>교육의 가장 높은 결과는 관용이다.</t>
  </si>
  <si>
    <t>The highest result of education is tolerance.</t>
  </si>
  <si>
    <t>학교 문을 여는 사람은 감옥 문을 닫는 사람이다.</t>
  </si>
  <si>
    <t>He who opens a school door, closes a prison.</t>
  </si>
  <si>
    <t>모든 사람은 내게서 배울 점이 있다는 점에서 나의 스승이다.</t>
  </si>
  <si>
    <t>Every man I meet is my master in some point, and in that I learn of him.</t>
  </si>
  <si>
    <t>경이로움은 지혜의 시작이다.</t>
  </si>
  <si>
    <t>Wonder is the beginning of wisdom.</t>
  </si>
  <si>
    <t>Hemingway</t>
  </si>
  <si>
    <t>어니스트 헤밍웨이</t>
  </si>
  <si>
    <t>Ernest Hemingway</t>
  </si>
  <si>
    <t>세상은 모두를 깨뜨리지만, 그 후 많은 이들이 부서진 곳에서 더 강해진다.</t>
  </si>
  <si>
    <t>The world breaks everyone, and afterward, some are strong at the broken places.</t>
  </si>
  <si>
    <t>우리는 우리를 괴롭히는 것들로부터만 배울 수 있다.</t>
  </si>
  <si>
    <t>We only learn from what hurts us.</t>
  </si>
  <si>
    <t>가장 강한 두 명의 전사는 인내와 시간이다.</t>
  </si>
  <si>
    <t>The two most powerful warriors are patience and time.</t>
  </si>
  <si>
    <t>삶의 신비는 단지 살아있다는 것에 있는 것이 아니라, 무엇을 위해 살아야 하는지 아는 것에 있다.</t>
  </si>
  <si>
    <t>The mystery of human existence lies not in just staying alive, but in finding something to live for.</t>
  </si>
  <si>
    <t>당신의 일상은 당신의 성전이자 종교이다.</t>
  </si>
  <si>
    <t>Your daily life is your temple and your religion.</t>
  </si>
  <si>
    <t>단순하게, 단순하게, 단순하게 살라!</t>
  </si>
  <si>
    <t>Simplicity, simplicity, simplicity!</t>
  </si>
  <si>
    <t>우주는 변화이고, 우리의 삶은 우리의 생각이 만드는 것이다.</t>
  </si>
  <si>
    <t>The universe is change; our life is what our thoughts make it.</t>
  </si>
  <si>
    <t>Spinoza</t>
  </si>
  <si>
    <t>바뤼흐 스피노자</t>
  </si>
  <si>
    <t>Baruch Spinoza</t>
  </si>
  <si>
    <t>내일 세상이 멸망한다 할지라도, 나는 오늘 한 그루의 사과나무를 심겠다.</t>
  </si>
  <si>
    <t>Even if I knew that tomorrow the world would go to pieces, I would still plant my apple tree.</t>
  </si>
  <si>
    <t>산다는 것은 세상에서 가장 드문 일이다. 대부분의 사람들은 그저 존재할 뿐이다.</t>
  </si>
  <si>
    <t>To live is the rarest thing in the world. Most people exist, that is all.</t>
  </si>
  <si>
    <t>닫힌 문을 너무 오래 쳐다보지 마라. 그러면 열려 있는 문을 보지 못하게 된다.</t>
  </si>
  <si>
    <t>Do not linger to gather flowers to keep them, but walk on, for flowers will keep themselves blooming all your way.</t>
  </si>
  <si>
    <t>내면의 빛을 끄지 않는 한, 나이는 중요하지 않다.</t>
  </si>
  <si>
    <t>The tragedy of life is what dies inside a man while he lives.</t>
  </si>
  <si>
    <t>Eliot</t>
  </si>
  <si>
    <t>T.S. 엘리엇</t>
  </si>
  <si>
    <t>T.S. Eliot</t>
  </si>
  <si>
    <t>우리가 출발한 곳으로 돌아가서 그곳을 처음으로 아는 것이 모든 탐험의 끝이다.</t>
  </si>
  <si>
    <t>And the end of all our exploring will be to arrive where we started and know the place for the first time.</t>
  </si>
  <si>
    <t>때때로 사람들은 진실을 듣고 싶어 하지 않는다. 자신의 환상이 깨지는 것을 원치 않기 때문이다.</t>
  </si>
  <si>
    <t>Sometimes people don't want to hear the truth because they don't want their illusions destroyed.</t>
  </si>
  <si>
    <t>자유는 단지 더 나아질 수 있는 기회일 뿐이다.</t>
  </si>
  <si>
    <t>Freedom is nothing but a chance to be better.</t>
  </si>
  <si>
    <t>인생은 자신을 찾는 것이 아니다. 인생은 자신을 창조하는 것이다.</t>
  </si>
  <si>
    <t>Life isn't about finding yourself. Life is about creating yourself.</t>
  </si>
  <si>
    <t>나는 나에게 일어난 일이 아니다. 나는 내가 되기로 선택한 것이다.</t>
  </si>
  <si>
    <t>I am not what happened to me, I am what I choose to become.</t>
  </si>
  <si>
    <t>오직 교육받은 사람만이 자유롭다.</t>
  </si>
  <si>
    <t>Only the educated are free.</t>
  </si>
  <si>
    <t>사랑할 때 우리는 가장 자유롭다.</t>
  </si>
  <si>
    <t>We are fully alive only when we love.</t>
  </si>
  <si>
    <t>지혜로운 자조차도 사랑 앞에서는 분별력을 잃는다.</t>
  </si>
  <si>
    <t>Love makes even the wisest blind.</t>
  </si>
  <si>
    <t>사랑은 태양과 다른 별들을 움직이는 힘이다.</t>
  </si>
  <si>
    <t>The love that moves the sun and the other stars.</t>
  </si>
  <si>
    <t>사랑은 일종의 전쟁이다.</t>
  </si>
  <si>
    <t>Love is a kind of warfare.</t>
  </si>
  <si>
    <t>나의 심장은 영원히 당신의 것입니다.</t>
  </si>
  <si>
    <t>My heart is, and always will be, yours.</t>
  </si>
  <si>
    <t>샬럿 브론테</t>
  </si>
  <si>
    <t>Charlotte Brontë</t>
  </si>
  <si>
    <t>나는 당신을 사랑합니다. 내 생명이 당신에게 달려 있는 것처럼요.</t>
  </si>
  <si>
    <t>I love you as my life.</t>
  </si>
  <si>
    <t>사랑은 눈으로 보는 것이 아니라 마음으로 보는 것이다.</t>
  </si>
  <si>
    <t>Love looks not with the eyes, but with the mind.</t>
  </si>
  <si>
    <t>마음은 상처받기 위해 창조되었다.</t>
  </si>
  <si>
    <t>The heart was made to be broken.</t>
  </si>
  <si>
    <t>사랑받지 못하는 것은 불운일 뿐이지만, 사랑하지 못하는 것은 불행이다.</t>
  </si>
  <si>
    <t>It is a misfortune not to be loved, but it is a misery not to love.</t>
  </si>
  <si>
    <t>진정한 사랑은 오직 나를 내어주는 것에 있다.</t>
  </si>
  <si>
    <t>Love is life. All, everything that I understand, I understand only because I love.</t>
  </si>
  <si>
    <t>Márquez</t>
  </si>
  <si>
    <t>가브리엘 가르시아 마르케스</t>
  </si>
  <si>
    <t>Gabriel García Márquez</t>
  </si>
  <si>
    <t>당신이 어떤 사람인지 때문이 아니라, 당신 곁에 있을 때 내가 어떤 사람이 되는지 때문에 당신을 사랑합니다.</t>
  </si>
  <si>
    <t>I love you not for whom you are, but who I am when I'm by your side.</t>
  </si>
  <si>
    <t>나는 너무 똑똑해서 가끔 내가 하는 말을 나조차도 한 마디도 이해하지 못할 때가 있다.</t>
  </si>
  <si>
    <t>I am so clever that sometimes I don't understand a single word of what I am saying.</t>
  </si>
  <si>
    <t>사랑은 이별의 시간이 올 때까지 자신의 깊이를 알지 못한다.</t>
  </si>
  <si>
    <t>Love knows not its own depth until the hour of separation.</t>
  </si>
  <si>
    <t>나를 사랑한다면 내 마음을 열어주오.</t>
  </si>
  <si>
    <t>If you love me, let me live in your heart.</t>
  </si>
  <si>
    <t>우리는 오직 우리가 사랑하는 사람들에게서만 고통을 받는다.</t>
  </si>
  <si>
    <t>We suffer only from those we love.</t>
  </si>
  <si>
    <t>Weil</t>
  </si>
  <si>
    <t>시몬 베유</t>
  </si>
  <si>
    <t>Simone Weil</t>
  </si>
  <si>
    <t>사랑은 방향이지 영혼의 상태가 아니다.</t>
  </si>
  <si>
    <t>Love is a direction, not a state of soul.</t>
  </si>
  <si>
    <t>친절한 친구는 당신의 슬픔을 가져가고 기쁨을 더해준다.</t>
  </si>
  <si>
    <t>A kind friend multiplies joys and divides grief.</t>
  </si>
  <si>
    <t>좋은 친구보다 더 소중한 것은 없다.</t>
  </si>
  <si>
    <t>Nothing is more valuable than a good friend.</t>
  </si>
  <si>
    <t>때로는 우리의 빛이 꺼지지만, 친구의 불꽃으로 다시 타오르게 된다.</t>
  </si>
  <si>
    <t>In everyone's life, at some time, our inner fire goes out. It is then burst into flame by an encounter with another human being.</t>
  </si>
  <si>
    <t>친구를 갖는다는 것은 두 번째 자아를 갖는 것과 같다.</t>
  </si>
  <si>
    <t>A friend is a second self.</t>
  </si>
  <si>
    <t>친구가 없는 삶은 황량하고 고독하다.</t>
  </si>
  <si>
    <t>Life without a friend is a wilderness.</t>
  </si>
  <si>
    <t>진정한 친구 앞에서는 마음속의 모든 것을 쏟아낼 수 있다.</t>
  </si>
  <si>
    <t>A true friend is one to whom you may pour out all the contents of your heart.</t>
  </si>
  <si>
    <t>우정은 서로의 영혼을 섞는 것이다.</t>
  </si>
  <si>
    <t>Friendship is a mingling of souls.</t>
  </si>
  <si>
    <t>좋은 친구를 얻는 것은 가장 큰 재산을 얻는 것이다.</t>
  </si>
  <si>
    <t>The greatest wealth is a true friend.</t>
  </si>
  <si>
    <t>우정은 우리의 영혼에 평화를 준다.</t>
  </si>
  <si>
    <t>Friendship brings peace to the soul.</t>
  </si>
  <si>
    <t>아무런 조건 없이 나를 믿어주는 친구가 진짜 친구다.</t>
  </si>
  <si>
    <t>A true friend believes in you without condition.</t>
  </si>
  <si>
    <t>우정은 결코 우연히 생기지 않는다.</t>
  </si>
  <si>
    <t>Friendship never happens by chance.</t>
  </si>
  <si>
    <t>친구의 가치는 그가 당신을 필요로 할 때 비로소 드러난다.</t>
  </si>
  <si>
    <t>A friend's true value is shown in times of need.</t>
  </si>
  <si>
    <t>친구를 사랑하는 것은 자신을 사랑하는 것이다.</t>
  </si>
  <si>
    <t>To love a friend is to love oneself.</t>
  </si>
  <si>
    <t>당신의 친구가 되기에 충분한 자격을 갖춘 사람을 찾아라.</t>
  </si>
  <si>
    <t>Seek those who are worthy of your friendship.</t>
  </si>
  <si>
    <t>누구든 친구의 고통에는 동정할 수 있지만, 친구의 성공을 진심으로 기뻐하는 데는 매우 훌륭한 품성이 필요하다.</t>
  </si>
  <si>
    <t>Anybody can sympathise with the sufferings of a friend, but it requires a very fine nature to sympathise with a friend's success.</t>
  </si>
  <si>
    <t>우정은 사랑보다 더 고요하고 더 깊은 연대이다.</t>
  </si>
  <si>
    <t>Friendship is a quieter and deeper solidarity than love.</t>
  </si>
  <si>
    <t>다른 사람을 부자로 만들지 않고서는 결코 부자가 될 수 없다.</t>
  </si>
  <si>
    <t>No man becomes rich unless he enriches others.</t>
  </si>
  <si>
    <t>가장 좋은 미래를 예측하는 방법은 미래를 창조하는 것이다.</t>
  </si>
  <si>
    <t>The best way to predict the future is to create it.</t>
  </si>
  <si>
    <t>우리는 항상 앞으로 2년 동안 일어날 변화는 과대평가하고, 10년 동안 일어날 변화는 과소평가한다.</t>
  </si>
  <si>
    <t>We always overestimate the change that will occur in the next two years and underestimate the change that will occur in the next ten.</t>
  </si>
  <si>
    <t>당신이 제품의 품질을 타협하는 순간, 당신은 모든 것을 잃는 것이다.</t>
  </si>
  <si>
    <t>When you compromise on quality, you lose everything.</t>
  </si>
  <si>
    <t>신뢰는 구축하는 데 평생이 걸리지만, 무너지는 데는 단 한 순간이면 충분하다.</t>
  </si>
  <si>
    <t>Trust takes a lifetime to build, but only a moment to destroy.</t>
  </si>
  <si>
    <t>할 일이 아무리 많아도, 작은 조각으로 나누면 결코 어렵지 않다.</t>
  </si>
  <si>
    <t>Nothing is particularly hard if you divide it into small jobs.</t>
  </si>
  <si>
    <t>당신의 브랜드는 당신이 방에 없을 때 다른 사람들이 당신에 대해 하는 말이다.</t>
  </si>
  <si>
    <t>Your brand is what other people say about you when you're not in the room.</t>
  </si>
  <si>
    <t>실패는 하나의 옵션이다. 만약 무언가 실패하고 있지 않다면, 당신은 충분히 혁신하고 있지 않은 것이다.</t>
  </si>
  <si>
    <t>Failure is an option here. If things are not failing, you are not innovating enough.</t>
  </si>
  <si>
    <t>지피지기면 백전불태이다.</t>
  </si>
  <si>
    <t>If you know the enemy and know yourself, you need not fear the result of a hundred battles.</t>
  </si>
  <si>
    <t>직원을 먼저 돌보라. 그러면 그들이 고객을 돌볼 것이다.</t>
  </si>
  <si>
    <t>Take care of your employees, and they'll take care of your business.</t>
  </si>
  <si>
    <t>혼자서는 할 수 있는 일이 거의 없지만, 함께라면 우리는 많은 것을 할 수 있다.</t>
  </si>
  <si>
    <t>Alone we can do so little; together we can do so much.</t>
  </si>
  <si>
    <t>혁신을 이끄는 것보다 더 위험하고 다루기 힘든 것은 없다.</t>
  </si>
  <si>
    <t>There is nothing more difficult to take in hand, more perilous to conduct, or more uncertain in its success, than to take the lead in the introduction of a new order of things.</t>
  </si>
  <si>
    <t>끊임없는 노력이야말로 잠재력을 열어주는 열쇠이다.</t>
  </si>
  <si>
    <t>Continuous effort - not strength or intelligence - is the key to unlocking our potential.</t>
  </si>
  <si>
    <t>훌륭한 것을 위해 좋은 것을 포기하는 것을 두려워하지 마라.</t>
  </si>
  <si>
    <t>Don't be afraid to give up the good to go for the great.</t>
  </si>
  <si>
    <t>사람들은 당신이 '무엇을' 하는지 사지 않는다. 당신이 '왜' 그것을 하는지 산다.</t>
  </si>
  <si>
    <t>People don't buy what you do; they buy why you do it.</t>
  </si>
  <si>
    <t>Walt Disney</t>
  </si>
  <si>
    <t>만약 당신이 그것을 꿈꿀 수 있다면, 당신은 그것을 해낼 수 있다.</t>
  </si>
  <si>
    <t>If you can dream it, you can do it.</t>
  </si>
  <si>
    <t>옷이 사람을 만든다. 벌거벗은 사람들은 사회에 거의, 혹은 아무런 영향력이 없다.</t>
  </si>
  <si>
    <t>Clothes make the man. Naked people have little or no influence on society.</t>
  </si>
  <si>
    <t>나는 아주 단순한 취향을 가졌다. 나는 항상 최고에만 만족한다.</t>
  </si>
  <si>
    <t>I have the simplest tastes. I am always satisfied with the best.</t>
  </si>
  <si>
    <t>어제와 똑같이 살면서 다른 내일을 기대하는 것은 정신병의 초기 증상이다.</t>
  </si>
  <si>
    <t>Insanity is doing the same thing over and over again and expecting different results.</t>
  </si>
  <si>
    <t>연설은 여자의 치마와 같아야 한다. 주제를 다룰 만큼 충분히 길면서도, 관심을 끌 만큼 충분히 짧아야 한다.</t>
  </si>
  <si>
    <t>A good speech should be like a woman's skirt; long enough to cover the subject and short enough to create interest.</t>
  </si>
  <si>
    <t>평화롭게 지낼 수 없다면, 최소한 재미있게 싸워라.</t>
  </si>
  <si>
    <t>If you cannot have peace, at least you can have a fun war.</t>
  </si>
  <si>
    <t>이 세상에서 죽음과 세금 외에 확실한 것은 없다.</t>
  </si>
  <si>
    <t>In this world nothing can be said to be certain, except death and taxes.</t>
  </si>
  <si>
    <t>나는 바보처럼 생겼고 말도 바보처럼 하지만, 속지 마라. 나는 진짜 바보다.</t>
  </si>
  <si>
    <t>I may look like an idiot and talk like an idiot, but don't let that fool you. I really am an idiot.</t>
  </si>
  <si>
    <t>성공의 80퍼센트는 일단 얼굴을 내미는 것이다.</t>
  </si>
  <si>
    <t>Eighty percent of success is showing up.</t>
  </si>
  <si>
    <t>이 세상의 진정한 골칫거리는 악한 사람들이 아니라 의도가 좋은 바보들이다.</t>
  </si>
  <si>
    <t>The real trouble with this world of ours is not that it is an unreasonable world, nor even that it is a reasonable one.</t>
  </si>
  <si>
    <t>오늘날 사회의 가장 슬픈 점은 과학이 지식을 모으는 속도보다 사회가 지혜를 모으는 속도가 느리다는 것이다.</t>
  </si>
  <si>
    <t>The saddest aspect of life right now is that science gathers knowledge faster than society gathers wisdom.</t>
  </si>
  <si>
    <t>모든 사람이 동의할 때는 누군가 실수하고 있는 것이다.</t>
  </si>
  <si>
    <t>Whenever everyone agrees with me, I always feel I must be wrong.</t>
  </si>
  <si>
    <t>뇌는 놀라운 기관이다. 아침에 일어나는 순간부터 사무실에 도착할 때까지 쉬지 않고 작동한다.</t>
  </si>
  <si>
    <t>The brain is a wonderful organ; it starts working the moment you get up in the morning and does not stop until you get into the office.</t>
  </si>
  <si>
    <t>의심스러울 때는 진실을 말해라. 그것은 모두를 어리둥절하게 만들 것이다.</t>
  </si>
  <si>
    <t>When in doubt, tell the truth. It will confound your enemies and astound your friends.</t>
  </si>
  <si>
    <t>의술이란 자연이 병을 고치는 동안 환자를 즐겁게 하는 기술이다.</t>
  </si>
  <si>
    <t>The art of medicine consists of amusing the patient while nature cures the disease.</t>
  </si>
  <si>
    <t>사실이란 없다. 오직 해석만 있을 뿐이다.</t>
  </si>
  <si>
    <t>There are no facts, only interpretations.</t>
  </si>
  <si>
    <t>아무도 당신의 비밀을 모르게 하려면, 아무에게도 말하지 마라.</t>
  </si>
  <si>
    <t>If you want a secret kept, keep it yourself.</t>
  </si>
  <si>
    <t>어제 내린 눈으로 눈사람을 만들 수는 없다.</t>
  </si>
  <si>
    <t>You can't make a snowman out of yesterday's snow.</t>
  </si>
  <si>
    <t>우리는 우리가 반복적으로 하는 행동의 결과물이다. 그러므로 탁월함은 행동이 아니라 습관이다.</t>
  </si>
  <si>
    <t>We are what we repeatedly do. Excellence, then, is not an act, but a habit.</t>
  </si>
  <si>
    <t>나는 특별한 재능이 없다. 단지 열정적으로 호기심이 많을 뿐이다.</t>
  </si>
  <si>
    <t>I have no special talent. I am only passionately curious.</t>
  </si>
  <si>
    <t>자신을 찾으려면 스스로 생각하라.</t>
  </si>
  <si>
    <t>To find yourself, think for yourself.</t>
  </si>
  <si>
    <t>책은 우주에 영혼을 주고, 마음에 날개를 달아준다.</t>
  </si>
  <si>
    <t>Books give a soul to the universe, wings to the mind.</t>
  </si>
  <si>
    <t>앎이란 아는 것을 안다고 하고, 모르는 것을 모른다고 하는 것이다.</t>
  </si>
  <si>
    <t>Real knowledge is to know the extent of one's ignorance.</t>
  </si>
  <si>
    <t>진리를 찾으려면 살면서 한 번쯤은 모든 것을 의심해 보아야 한다.</t>
  </si>
  <si>
    <t>If you would be a real seeker after truth, it is necessary that at least once in your life you doubt, as far as possible, all things.</t>
  </si>
  <si>
    <t>독서는 완성된 사람을, 대화는 준비된 사람을, 쓰기는 정확한 사람을 만든다.</t>
  </si>
  <si>
    <t>Reading maketh a full man; conference a ready man; and writing an exact man.</t>
  </si>
  <si>
    <t>Kant</t>
  </si>
  <si>
    <t>임마누엘 칸트</t>
  </si>
  <si>
    <t>Immanuel Kant</t>
  </si>
  <si>
    <t>내용 없는 사고는 공허하고, 개념 없는 직관은 맹목적이다.</t>
  </si>
  <si>
    <t>Thoughts without content are empty, intuitions without concepts are blind.</t>
  </si>
  <si>
    <t>자연이라는 위대한 책은 수학이라는 언어로 쓰여 있다.</t>
  </si>
  <si>
    <t>The universe cannot be read until we have learned the language and become familiar with the characters in which it is written.</t>
  </si>
  <si>
    <t>진리는 침묵과 끊임없는 사색 속에서 태어난다.</t>
  </si>
  <si>
    <t>Truth is the offspring of silence and unbroken meditation.</t>
  </si>
  <si>
    <t>지식에 투자하는 것이 가장 높은 수익을 가져다준다.</t>
  </si>
  <si>
    <t>An investment in knowledge always pays the best interest.</t>
  </si>
  <si>
    <t>우리는 경험에서 배우는 것이 아니라, 경험에 대한 반성에서 배운다.</t>
  </si>
  <si>
    <t>We do not learn from experience... we learn from reflecting on experience.</t>
  </si>
  <si>
    <t>인생은 두려워할 것이 아니라 이해해야 할 대상이다.</t>
  </si>
  <si>
    <t>Nothing in life is to be feared, it is only to be understood.</t>
  </si>
  <si>
    <t>교육의 목적은 아이의 자연스러운 성장을 돕는 것이다.</t>
  </si>
  <si>
    <t>The goal of early childhood education should be to activate the child's own natural desire to learn.</t>
  </si>
  <si>
    <t>Poincaré</t>
  </si>
  <si>
    <t>앙리 푸앵카레</t>
  </si>
  <si>
    <t>Henri Poincaré</t>
  </si>
  <si>
    <t>과학은 사실로 지어지지만, 사실의 축적이 곧 과학은 아니다.</t>
  </si>
  <si>
    <t>Science is built up of facts, as a house is built of stones.</t>
  </si>
  <si>
    <t>지식은 항상 확신보다 의심을 덜 낳는다.</t>
  </si>
  <si>
    <t>Ignorance more frequently begets confidence than does knowledge.</t>
  </si>
  <si>
    <t>Hawking</t>
  </si>
  <si>
    <t>스티븐 호킹</t>
  </si>
  <si>
    <t>Stephen Hawking</t>
  </si>
  <si>
    <t>지능은 변화에 적응하는 능력이다.</t>
  </si>
  <si>
    <t>Intelligence is the ability to adapt to change.</t>
  </si>
  <si>
    <t>어딘가에 놀라운 것이 알려지기를 기다리고 있다.</t>
  </si>
  <si>
    <t>Somewhere, something incredible is waiting to be known.</t>
  </si>
  <si>
    <t>때로는 살아있는 것조차도 용기가 될 때가 있다.</t>
  </si>
  <si>
    <t>Sometimes even to live is an act of courage.</t>
  </si>
  <si>
    <t>가질 수 없는 것을 원하여 가진 것을 망치지 마라.</t>
  </si>
  <si>
    <t>Do not spoil what you have by desiring what you have not.</t>
  </si>
  <si>
    <t>모든 진리는 세 단계를 거친다. 첫째, 조롱받는다. 둘째, 심하게 반대 받는다. 셋째, 자명한 것으로 받아들여진다.</t>
  </si>
  <si>
    <t>All truth passes through three stages. First, it is ridiculed. Second, it is violently opposed. Third, it is accepted as being self-evident.</t>
  </si>
  <si>
    <t>인생은 하나의 실험이다. 실험을 많이 할수록 더 나아진다.</t>
  </si>
  <si>
    <t>All life is an experiment. The more experiments you make the better.</t>
  </si>
  <si>
    <t>음악이 없는 삶은 오류일 것이다.</t>
  </si>
  <si>
    <t>Without music, life would be a mistake.</t>
  </si>
  <si>
    <t>시작이 일의 가장 중요한 부분이다.</t>
  </si>
  <si>
    <t>The beginning is the most important part of the work.</t>
  </si>
  <si>
    <t>행복은 우리 자신에게 달려 있다.</t>
  </si>
  <si>
    <t>Happiness depends upon ourselves.</t>
  </si>
  <si>
    <t>작은 변화가 일어날 때 진정한 삶이 살아진다.</t>
  </si>
  <si>
    <t>True life is lived when tiny changes occur.</t>
  </si>
  <si>
    <t>나는 숲으로 갔다. 왜냐하면 의도적으로 살고 싶었기 때문이다.</t>
  </si>
  <si>
    <t>I went to the woods because I wished to live deliberately.</t>
  </si>
  <si>
    <t>우리가 듣는 모든 것은 의견이지 사실이 아니다.</t>
  </si>
  <si>
    <t>Everything we hear is an opinion, not a fact.</t>
  </si>
  <si>
    <t>오늘 할 수 있는 일을 내일로 미루지 마라.</t>
  </si>
  <si>
    <t>Never leave that till tomorrow which you can do today.</t>
  </si>
  <si>
    <t>얼굴을 햇빛을 향하게 하라. 그러면 그림자를 볼 수 없을 것이다.</t>
  </si>
  <si>
    <t>Keep your face to the sunshine and you cannot see a shadow.</t>
  </si>
  <si>
    <t>지옥을 걷고 있다면, 계속 걸어라.</t>
  </si>
  <si>
    <t>If you're going through hell, keep going.</t>
  </si>
  <si>
    <t>당신이 있는 곳에서, 당신이 가진 것으로, 당신이 할 수 있는 일을 하라.</t>
  </si>
  <si>
    <t>Do what you can, with what you have, where you are.</t>
  </si>
  <si>
    <t>평화는 미소에서 시작된다.</t>
  </si>
  <si>
    <t>Peace begins with a smile.</t>
  </si>
  <si>
    <t>다른 사람을 사랑하는 것은 신의 얼굴을 보는 것이다.</t>
  </si>
  <si>
    <t>To love another person is to see the face of God.</t>
  </si>
  <si>
    <t>사랑은 눈을 멀게 하고, 연인들은 자신들이 저지르는 어리석은 짓을 보지 못한다.</t>
  </si>
  <si>
    <t>Love is blind, and lovers cannot see the pretty follies that themselves commit.</t>
  </si>
  <si>
    <t>Rumi</t>
  </si>
  <si>
    <t>루미</t>
  </si>
  <si>
    <t>상처는 빛이 당신에게 들어오는 곳이다.</t>
  </si>
  <si>
    <t>The wound is the place where the Light enters you.</t>
  </si>
  <si>
    <t>인생의 목적은 더 크고 위대한 것들에 의해 패배하는 것이다.</t>
  </si>
  <si>
    <t>The purpose of life is to be defeated by greater and greater things.</t>
  </si>
  <si>
    <t>아름다움이 세상을 구원할 것이다.</t>
  </si>
  <si>
    <t>Beauty will save the world.</t>
  </si>
  <si>
    <t>사랑 없이 결혼하는 것보다 차라리 모든 것을 견디는 게 낫다.</t>
  </si>
  <si>
    <t>Anything is to be preferred or endured rather than marrying without Affection.</t>
  </si>
  <si>
    <t>나는 새가 아니며 그 어떤 그물도 나를 가둘 수 없다. 나는 독립적인 자유 의지를 가진 인간이다.</t>
  </si>
  <si>
    <t>I am no bird; and no net ensnares me: I am a free human being with an independent will.</t>
  </si>
  <si>
    <t>기쁨을 나누면 두 배가 되고 슬픔을 나누면 반이 된다.</t>
  </si>
  <si>
    <t>Joy shared is a joy doubled; grief shared is a grief halved.</t>
  </si>
  <si>
    <t>진정한 사랑은 세상에서 가장 강한 힘이다.</t>
  </si>
  <si>
    <t>Love is the strongest force the world possesses.</t>
  </si>
  <si>
    <t>네 장미가 너에게 그렇게 소중한 이유는 네가 장미에게 들인 시간 때문이야.</t>
  </si>
  <si>
    <t>It is the time you have wasted for your rose that makes your rose so important.</t>
  </si>
  <si>
    <t>세상에게 당신은 한 사람일지 모르지만, 한 사람에게 당신은 세상일 수 있다.</t>
  </si>
  <si>
    <t>To the world you may be one person, but to one person you may be the world.</t>
  </si>
  <si>
    <t>사랑은 삶의 에너지이다.</t>
  </si>
  <si>
    <t>Love is the energy of life.</t>
  </si>
  <si>
    <t>우정은 항상 유익하지만, 사랑은 때때로 상처를 준다.</t>
  </si>
  <si>
    <t>Friendship always benefits; love sometimes injures.</t>
  </si>
  <si>
    <t>친구들에게는 어떻게 대해야 하는가? 우리가 그들이 우리에게 대해주기를 바라는 대로 해야 한다.</t>
  </si>
  <si>
    <t>We should behave to our friends as we would wish our friends to behave to us.</t>
  </si>
  <si>
    <t>참된 우정의 본질은 완전함과 전적인 신뢰이다.</t>
  </si>
  <si>
    <t>The essence of friendship is entireness, a total magnanimity and trust.</t>
  </si>
  <si>
    <t>우정은 인생을 행복하게 만들기 위해 지혜가 준비한 가장 위대한 선물이다.</t>
  </si>
  <si>
    <t>Of all the things which wisdom provides to make us entirely happy, much the greatest is the possession of friendship.</t>
  </si>
  <si>
    <t>우정은 행복을 더하고 불행을 줄여준다.</t>
  </si>
  <si>
    <t>Friendship improves happiness, and abates misery.</t>
  </si>
  <si>
    <t>뭉치면 서고 흩어지면 무너진다.</t>
  </si>
  <si>
    <t>United we stand, divided we fall.</t>
  </si>
  <si>
    <t>슬픔은 혼자서도 감당할 수 있지만, 기쁨의 가치를 충분히 누리려면 누군가와 나누어야 한다.</t>
  </si>
  <si>
    <t>Grief can take care of itself, but to get the full value of a joy you must have someone to divide it with.</t>
  </si>
  <si>
    <t>내 친구들은 내 삶의 이야기를 만들어주었다.</t>
  </si>
  <si>
    <t>My friends have made the story of my life.</t>
  </si>
  <si>
    <t>진정한 친구는 당신의 있는 그대로의 모습을 아는 사람이다.</t>
  </si>
  <si>
    <t>A friend is one that knows you as you are.</t>
  </si>
  <si>
    <t>어떤 사람들은 가는 곳마다 기쁨을 주고, 어떤 사람들은 떠날 때마다 기쁨을 준다.</t>
  </si>
  <si>
    <t>Some cause happiness wherever they go; others whenever they go.</t>
  </si>
  <si>
    <t>가장 좋은 친구가 아마 가장 좋은 아내를 얻을 것이다.</t>
  </si>
  <si>
    <t>The best friend will probably acquire the best wife.</t>
  </si>
  <si>
    <t>진정한 우정은 두려움을 이긴다.</t>
  </si>
  <si>
    <t>Friendship overcomes fear.</t>
  </si>
  <si>
    <t>친구의 결점을 인내하라.</t>
  </si>
  <si>
    <t>Bear with your friend's faults.</t>
  </si>
  <si>
    <t>의사소통에서 가장 중요한 것은 말하지 않은 것을 듣는 것이다.</t>
  </si>
  <si>
    <t>The most important thing in communication is hearing what isn't said.</t>
  </si>
  <si>
    <t>묘지에서 가장 부자가 되는 것은 나에게 중요하지 않다. 밤에 잠자리에 들 때 우리가 놀라운 일을 했다고 말하는 것, 그것이 중요하다.</t>
  </si>
  <si>
    <t>Being the richest man in the cemetery doesn't matter to me. Going to bed at night saying we've done something wonderful, that's what matters to me.</t>
  </si>
  <si>
    <t>성공은 형편없는 스승이다. 똑똑한 사람들을 유혹하여 자신이 절대 패배할 수 없다고 생각하게 만든다.</t>
  </si>
  <si>
    <t>Success is a lousy teacher. It seduces smart people into thinking they can't lose.</t>
  </si>
  <si>
    <t>돈만 버는 사업은 빈곤한 사업이다.</t>
  </si>
  <si>
    <t>A business that makes nothing but money is a poor business.</t>
  </si>
  <si>
    <t>위험은 자신이 무엇을 하고 있는지 모르는 데서 온다.</t>
  </si>
  <si>
    <t>Risk comes from not knowing what you're doing.</t>
  </si>
  <si>
    <t>성공의 비결은 자신의 일을 가장 잘할 사람을 알아보는 것에 있다.</t>
  </si>
  <si>
    <t>The secret of success lies not in doing your own work, but in recognizing the best person to do it.</t>
  </si>
  <si>
    <t>성공의 비결은 평범한 일을 비범하게 잘하는 것이다.</t>
  </si>
  <si>
    <t>비즈니스는 그저 다른 사람들의 삶을 개선하는 아이디어일 뿐이다.</t>
  </si>
  <si>
    <t>A business is simply an idea to make other people's lives better.</t>
  </si>
  <si>
    <t>우리는 계속 전진하고 새로운 문을 열며 새로운 일들을 한다. 호기심이 우리를 새로운 길로 이끌기 때문이다.</t>
  </si>
  <si>
    <t>We keep moving forward, opening new doors, and doing new things, because we're curious and curiosity keeps leading us down new paths.</t>
  </si>
  <si>
    <t>인내심은 매우 중요하다. 강제로 포기해야만 하는 상황이 아니라면 결코 포기해서는 안 된다.</t>
  </si>
  <si>
    <t>Persistence is very important. You should not give up unless you are forced to give up.</t>
  </si>
  <si>
    <t>비판받는 것을 절대 원치 않는다면, 새로운 것은 아무것도 하지 마라.</t>
  </si>
  <si>
    <t>If you never want to be criticized, for goodness' sake don't do anything new.</t>
  </si>
  <si>
    <t>결정을 내릴 때 최악의 선택은 아무것도 하지 않는 것이다.</t>
  </si>
  <si>
    <t>In any moment of decision, the worst thing you can do is nothing.</t>
  </si>
  <si>
    <t>싸우지 않고 적을 굴복시키는 것이 최고의 기술이다.</t>
  </si>
  <si>
    <t>The supreme art of war is to subdue the enemy without fighting.</t>
  </si>
  <si>
    <t>사랑받는 것보다 두려움의 대상이 되는 것이 훨씬 안전하다.</t>
  </si>
  <si>
    <t>It is much safer to be feared than loved.</t>
  </si>
  <si>
    <t>다수의 편에 서 있다는 것을 깨달을 때야말로 멈춰 서서 반성할 때이다.</t>
  </si>
  <si>
    <t>Whenever you find yourself on the side of the majority, it is time to pause and reflect.</t>
  </si>
  <si>
    <t>경험이란 사람들이 자신의 실수에 붙이는 이름일 뿐이다.</t>
  </si>
  <si>
    <t>Experience is simply the name we give our mistakes.</t>
  </si>
  <si>
    <t>침묵은 경멸을 표현하는 가장 완벽한 방법이다.</t>
  </si>
  <si>
    <t>Silence is the most perfect expression of scorn.</t>
  </si>
  <si>
    <t>나는 미래에 대해 생각하지 않는다. 어차피 곧 오기 때문이다.</t>
  </si>
  <si>
    <t>I never think of the future. It comes soon enough.</t>
  </si>
  <si>
    <t>나는 술이 나에게서 앗아간 것보다 내가 술에서 얻은 것이 더 많다.</t>
  </si>
  <si>
    <t>I have taken more out of alcohol than alcohol has taken out of me.</t>
  </si>
  <si>
    <t>나는 완벽하게 훌륭한 저녁 시간을 보냈다. 하지만 오늘은 아니었다.</t>
  </si>
  <si>
    <t>I've had a perfectly wonderful evening, but this wasn't it.</t>
  </si>
  <si>
    <t>사자가 어린 양과 함께 누울 수는 있지만, 어린 양은 잠을 잘 자지 못할 것이다.</t>
  </si>
  <si>
    <t>The lion and the calf shall lie down together but the calf won't get much sleep.</t>
  </si>
  <si>
    <t>불평하는 사람은 기대가 없는 사람이다.</t>
  </si>
  <si>
    <t>The man who complains is the man who has no expectations.</t>
  </si>
  <si>
    <t>컴퓨터의 가장 큰 장점은 사람과 달리 화를 내지 않는다는 것이다.</t>
  </si>
  <si>
    <t>The best thing about computers is that they don't get angry like people do.</t>
  </si>
  <si>
    <t>아무것도 안 하는 것의 가장 큰 문제는 언제 끝나는지 알 수 없다는 것이다.</t>
  </si>
  <si>
    <t>The problem with doing nothing is not knowing when you're finished.</t>
  </si>
  <si>
    <t>비밀을 지키는 세 가지 방법이 있다. 그중 두 명이 죽는 것이다.</t>
  </si>
  <si>
    <t>Three may keep a secret, if two of them are dead.</t>
  </si>
  <si>
    <t>숙면을 취하는 가장 좋은 방법은 열심히 일하는 것이다.</t>
  </si>
  <si>
    <t>The best way to get a good night's sleep is to work hard.</t>
  </si>
  <si>
    <t>바보는 자신이 지혜롭다고 생각하지만, 지혜로운 사람은 자신이 바보라는 것을 안다.</t>
  </si>
  <si>
    <t>The fool doth think he is wise, but the wise man knows himself to be a fool.</t>
  </si>
  <si>
    <t>가르치는 것은 이해의 가장 높은 형태이다.</t>
  </si>
  <si>
    <t>Teaching is the highest form of understanding.</t>
  </si>
  <si>
    <t>유일한 선은 지식이요, 유일한 악은 무지이다.</t>
  </si>
  <si>
    <t>There is only one good, knowledge, and one evil, ignorance.</t>
  </si>
  <si>
    <t>모든 배움은 기억일 뿐이다.</t>
  </si>
  <si>
    <t>All learning is but recollection.</t>
  </si>
  <si>
    <t>자연을 지배하기 위해서는 먼저 자연에 순응해야 한다.</t>
  </si>
  <si>
    <t>Nature, to be commanded, must be obeyed.</t>
  </si>
  <si>
    <t>상상력은 지식보다 중요하다. 지식은 한계가 있지만, 상상력은 세상을 감싼다.</t>
  </si>
  <si>
    <t>Imagination is more important than knowledge. For knowledge is limited, whereas imagination embraces the entire world.</t>
  </si>
  <si>
    <t>우리는 너무 많은 벽을 짓고, 다리는 충분히 짓지 않는다.</t>
  </si>
  <si>
    <t>We build too many walls and not enough bridges.</t>
  </si>
  <si>
    <t>의심은 지혜의 기원이다.</t>
  </si>
  <si>
    <t>Doubt is the origin of wisdom.</t>
  </si>
  <si>
    <t>나는 아무리 무지한 사람이라도 그에게서 배울 점이 없는 사람을 만나본 적이 없다.</t>
  </si>
  <si>
    <t>I have never met a man so ignorant that I couldn't learn something from him.</t>
  </si>
  <si>
    <t>배우고 때로 익히면 또한 기쁘지 아니한가.</t>
  </si>
  <si>
    <t>Is it not a pleasure, having learned something, to try it out at due intervals?</t>
  </si>
  <si>
    <t>교육은 삶을 준비하는 것이 아니라 삶의 사회적 과정 그 자체이다.</t>
  </si>
  <si>
    <t>Education is a social process... Education is not a preparation for life; education is life itself.</t>
  </si>
  <si>
    <t>교육은 아이 스스로 환경을 통해 성장하는 자연스러운 과정이다.</t>
  </si>
  <si>
    <t>Education is a natural process carried out by the child and is not acquired by listening to words.</t>
  </si>
  <si>
    <t>우주가 우리가 사랑하는 사람들의 집이 아니라면, 우주는 아무것도 아닐 것이다.</t>
  </si>
  <si>
    <t>It would not be much of a universe if it wasn't home to the people you love.</t>
  </si>
  <si>
    <t>우리는 우리 자신을 발전시키지 않고서는 더 나은 세상을 만들 수 없다.</t>
  </si>
  <si>
    <t>You cannot hope to build a better world without improving the individuals.</t>
  </si>
  <si>
    <t>앱 제목</t>
  </si>
  <si>
    <t>힐링 명언 - 인생, 성공, 행복, 가족, 학업, 연애, 경영 명언 모음</t>
  </si>
  <si>
    <t xml:space="preserve">개발 도구 </t>
  </si>
  <si>
    <t>Android Studio 3.5.1</t>
  </si>
  <si>
    <t>필요 기능</t>
  </si>
  <si>
    <t>핸드폰 이미지 저장 기능
공유하기 (카카오톡, 기타 SNS 공유 가능)
배경화면 위젯 / 상단바 출력 / 잠금화면 출력
구글 애즈몹 광고 (10번째마다 광고 출력, 배너 광고)
배경 이미지 위에 까만 이미지로 오퍼시티 낮춰서 출력</t>
  </si>
  <si>
    <t>필요 리소스</t>
  </si>
  <si>
    <t>배경 이미지</t>
  </si>
  <si>
    <t xml:space="preserve">글꼴 파일 </t>
  </si>
  <si>
    <t xml:space="preserve">화면 구성 </t>
  </si>
  <si>
    <t>타이틀 화면</t>
  </si>
  <si>
    <t>로고</t>
  </si>
  <si>
    <t>로비 화면</t>
  </si>
  <si>
    <t>카테고리 선택</t>
  </si>
  <si>
    <t>문구 화면</t>
  </si>
  <si>
    <t>배경 이미지/문구</t>
  </si>
  <si>
    <t>저장/공유 아이콘</t>
  </si>
  <si>
    <t>종료할 때</t>
  </si>
  <si>
    <t>팝업 창 출력</t>
  </si>
  <si>
    <t>대분류</t>
  </si>
  <si>
    <t>성공 명언</t>
  </si>
  <si>
    <t>연애</t>
  </si>
  <si>
    <t>친구</t>
  </si>
  <si>
    <t>투자 이런거, 경영인들이 말한거</t>
  </si>
  <si>
    <t xml:space="preserve">유머 </t>
  </si>
  <si>
    <t>예능인이나 예능에 나왔던 것들, 포기하면 편해 이런거</t>
  </si>
  <si>
    <t>개인</t>
  </si>
  <si>
    <t>NO</t>
  </si>
  <si>
    <t>LANG</t>
  </si>
  <si>
    <t>CONTENTS</t>
  </si>
  <si>
    <t>RESONER</t>
  </si>
  <si>
    <t>KR</t>
  </si>
  <si>
    <t>인생에서 많은 패배에 직면하겠지만결코 패배하지 말라.</t>
  </si>
  <si>
    <t>EN</t>
  </si>
  <si>
    <t>You will face many defeats in life,But never let yourself be defeated.</t>
  </si>
  <si>
    <t>The greatest glory in living lies not in never falling,But in rising every time we fall.</t>
  </si>
  <si>
    <t>결국, 여러분의 인생에서 중요한 것은 지나가는 세월이 아닌 인생이다.</t>
  </si>
  <si>
    <t>아브라함 링컨</t>
  </si>
  <si>
    <t>Life is neither a daring adventure or nothing at all.</t>
  </si>
  <si>
    <t>토마스 에디슨</t>
  </si>
  <si>
    <t>시오도르 루즈벨트</t>
  </si>
  <si>
    <t>릴리 퓰리쳐</t>
  </si>
  <si>
    <t>프레드릭 니체</t>
  </si>
  <si>
    <t>윌리엄 세익스피어</t>
  </si>
  <si>
    <t>벤자민 프랭클린</t>
  </si>
  <si>
    <t>인생에서 최고의 행복은 사랑받고 있다는 확신을 갖고 있을 때이다.</t>
  </si>
  <si>
    <t>빅터 휴고</t>
  </si>
  <si>
    <t>The supreme happiness in life is the conviction that we are loved.</t>
  </si>
  <si>
    <t>진정한 사랑은 자고로 순탄하지 않다.</t>
  </si>
  <si>
    <t>앤드류 카네기</t>
  </si>
  <si>
    <t>아인슈타인</t>
  </si>
  <si>
    <t>토마스 제퍼슨</t>
  </si>
  <si>
    <t>G. K. 체스터튼</t>
  </si>
  <si>
    <t>Thomas Edison</t>
  </si>
  <si>
    <t>Money is like /mgasoline during a road trip. You do not want to run out of gas on your trip, but you‘re not doing a tour of gas stations.</t>
  </si>
  <si>
    <t xml:space="preserve">젊음은 반드시 칭송되는 것만큼 좋은 것은 아니다. </t>
  </si>
  <si>
    <t>제노</t>
  </si>
  <si>
    <t>이또한 지나가리라.</t>
  </si>
  <si>
    <t>에트 혹 트란시비트</t>
  </si>
  <si>
    <t>This too shall pass</t>
  </si>
  <si>
    <t>Et hoc transibit</t>
  </si>
  <si>
    <t>Julius caesar</t>
  </si>
  <si>
    <t xml:space="preserve">내 인생을 바꾸는 사람은 자신입니다. 아무도 대신해줄 수 없어요. </t>
  </si>
  <si>
    <t>Only I can change me life, No one can do it for me.</t>
  </si>
  <si>
    <t>인생은 거꾸로만 이해되지만 앞으로 살아야 한다.</t>
  </si>
  <si>
    <t>Albert camus</t>
  </si>
  <si>
    <t xml:space="preserve">성공은 종점이 아니며, 실패는 치명적이지 않다. 중요한 것은 용기이다. </t>
  </si>
  <si>
    <t xml:space="preserve">만약 당신이 정말로 자세히 관찰한다면, 대부분의 하룻밤 동안의 성공에는 많은 시간이 걸린 것을 발견할 것이다. </t>
  </si>
  <si>
    <t xml:space="preserve">불가능한 일을 하는 것은  재미있는 일입니다. </t>
  </si>
  <si>
    <t xml:space="preserve">어둠이 짙게 깔렸을 때야만 별을 볼 수 있는 것을 알고 있다. </t>
  </si>
  <si>
    <t xml:space="preserve">능력이 부족할 수록 자만심이 더 강하다. </t>
  </si>
  <si>
    <t xml:space="preserve">The less their ability, the more their conceit.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</si>
</sst>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sz val="10.0"/>
      <color theme="1"/>
      <name val="Asta Sans"/>
    </font>
    <font>
      <sz val="9.0"/>
      <color rgb="FF000000"/>
      <name val="Asta Sans"/>
    </font>
    <font>
      <sz val="9.0"/>
      <color rgb="FF333333"/>
      <name val="Asta Sans"/>
    </font>
    <font>
      <sz val="9.0"/>
      <color theme="1"/>
      <name val="Asta Sans"/>
    </font>
    <font>
      <color theme="1"/>
      <name val="Arial"/>
    </font>
    <font>
      <b/>
      <color theme="1"/>
      <name val="Arial"/>
    </font>
    <font/>
    <font>
      <sz val="10.0"/>
      <color rgb="FF000000"/>
      <name val="Arial"/>
    </font>
    <font>
      <sz val="10.0"/>
      <color theme="1"/>
      <name val="Malgun Gothic"/>
    </font>
    <font>
      <b/>
      <sz val="10.0"/>
      <color theme="1"/>
      <name val="Arial"/>
    </font>
    <font>
      <sz val="10.0"/>
      <color theme="1"/>
      <name val="Arial"/>
    </font>
    <font>
      <sz val="10.0"/>
      <color rgb="FFFF0000"/>
      <name val="Arial"/>
    </font>
    <font>
      <color theme="1"/>
      <name val="Asta Sans"/>
    </font>
    <font>
      <sz val="10.0"/>
      <color rgb="FF000000"/>
      <name val="Malgun Gothic"/>
    </font>
    <font>
      <b/>
      <sz val="10.0"/>
      <color theme="1"/>
      <name val="Arial"/>
      <scheme val="minor"/>
    </font>
    <font>
      <sz val="9.0"/>
      <color rgb="FF000000"/>
      <name val="&quot;Arial&quot;"/>
    </font>
    <font>
      <sz val="9.0"/>
      <color rgb="FF000000"/>
      <name val="굴림"/>
    </font>
    <font>
      <sz val="9.0"/>
      <color rgb="FF000000"/>
      <name val="&quot;맑은 고딕&quot;"/>
    </font>
    <font>
      <sz val="9.0"/>
      <color rgb="FF333333"/>
      <name val="굴림"/>
    </font>
    <font>
      <sz val="9.0"/>
      <color theme="1"/>
      <name val="Arial"/>
      <scheme val="minor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</fills>
  <borders count="25">
    <border/>
    <border>
      <bottom style="double">
        <color rgb="FFFF0000"/>
      </bottom>
    </border>
    <border>
      <bottom style="thick">
        <color rgb="FFFF0000"/>
      </bottom>
    </border>
    <border>
      <bottom style="thin">
        <color rgb="FF63D297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bottom style="dotted">
        <color rgb="FFB7B7B7"/>
      </bottom>
    </border>
    <border>
      <right style="thin">
        <color rgb="FF000000"/>
      </right>
      <bottom style="dotted">
        <color rgb="FFB7B7B7"/>
      </bottom>
    </border>
    <border>
      <top style="dotted">
        <color rgb="FFB7B7B7"/>
      </top>
      <bottom style="thin">
        <color rgb="FF000000"/>
      </bottom>
    </border>
    <border>
      <right style="thin">
        <color rgb="FF000000"/>
      </right>
      <top style="dotted">
        <color rgb="FFB7B7B7"/>
      </top>
      <bottom style="thin">
        <color rgb="FF000000"/>
      </bottom>
    </border>
    <border>
      <right style="dotted">
        <color rgb="FFB7B7B7"/>
      </right>
      <bottom style="dotted">
        <color rgb="FFB7B7B7"/>
      </bottom>
    </border>
    <border>
      <left style="dotted">
        <color rgb="FFB7B7B7"/>
      </left>
      <bottom style="dotted">
        <color rgb="FFB7B7B7"/>
      </bottom>
    </border>
    <border>
      <right style="dotted">
        <color rgb="FFB7B7B7"/>
      </right>
      <top style="dotted">
        <color rgb="FFB7B7B7"/>
      </top>
      <bottom style="dotted">
        <color rgb="FFB7B7B7"/>
      </bottom>
    </border>
    <border>
      <top style="dotted">
        <color rgb="FFB7B7B7"/>
      </top>
      <bottom style="dotted">
        <color rgb="FFB7B7B7"/>
      </bottom>
    </border>
    <border>
      <left style="dotted">
        <color rgb="FFB7B7B7"/>
      </left>
      <top style="dotted">
        <color rgb="FFB7B7B7"/>
      </top>
      <bottom style="dotted">
        <color rgb="FFB7B7B7"/>
      </bottom>
    </border>
    <border>
      <right style="thin">
        <color rgb="FF000000"/>
      </right>
      <top style="dotted">
        <color rgb="FFB7B7B7"/>
      </top>
      <bottom style="dotted">
        <color rgb="FFB7B7B7"/>
      </bottom>
    </border>
    <border>
      <right style="dotted">
        <color rgb="FFB7B7B7"/>
      </right>
      <top style="dotted">
        <color rgb="FFB7B7B7"/>
      </top>
    </border>
    <border>
      <right style="dotted">
        <color rgb="FFB7B7B7"/>
      </right>
      <top style="dotted">
        <color rgb="FFB7B7B7"/>
      </top>
      <bottom style="thin">
        <color rgb="FF000000"/>
      </bottom>
    </border>
    <border>
      <left style="dotted">
        <color rgb="FFB7B7B7"/>
      </left>
      <top style="dotted">
        <color rgb="FFB7B7B7"/>
      </top>
      <bottom style="thin">
        <color rgb="FF00000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 vertical="center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 readingOrder="0" vertical="bottom"/>
    </xf>
    <xf borderId="0" fillId="0" fontId="2" numFmtId="0" xfId="0" applyAlignment="1" applyFont="1">
      <alignment horizontal="left" readingOrder="0" vertical="bottom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left" readingOrder="0"/>
    </xf>
    <xf borderId="2" fillId="0" fontId="2" numFmtId="0" xfId="0" applyAlignment="1" applyBorder="1" applyFont="1">
      <alignment horizontal="left" readingOrder="0"/>
    </xf>
    <xf borderId="2" fillId="0" fontId="4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3" fillId="0" fontId="2" numFmtId="0" xfId="0" applyAlignment="1" applyBorder="1" applyFont="1">
      <alignment horizontal="center" readingOrder="0"/>
    </xf>
    <xf borderId="3" fillId="0" fontId="4" numFmtId="0" xfId="0" applyAlignment="1" applyBorder="1" applyFont="1">
      <alignment vertical="bottom"/>
    </xf>
    <xf borderId="3" fillId="0" fontId="2" numFmtId="0" xfId="0" applyAlignment="1" applyBorder="1" applyFont="1">
      <alignment horizontal="left" readingOrder="0"/>
    </xf>
    <xf borderId="3" fillId="0" fontId="4" numFmtId="0" xfId="0" applyAlignment="1" applyBorder="1" applyFont="1">
      <alignment vertical="bottom"/>
    </xf>
    <xf borderId="1" fillId="0" fontId="4" numFmtId="0" xfId="0" applyAlignment="1" applyBorder="1" applyFont="1">
      <alignment readingOrder="0"/>
    </xf>
    <xf borderId="0" fillId="0" fontId="4" numFmtId="0" xfId="0" applyFont="1"/>
    <xf borderId="0" fillId="0" fontId="4" numFmtId="0" xfId="0" applyFont="1"/>
    <xf borderId="0" fillId="2" fontId="1" numFmtId="49" xfId="0" applyAlignment="1" applyFill="1" applyFont="1" applyNumberFormat="1">
      <alignment horizontal="center" readingOrder="0" vertical="center"/>
    </xf>
    <xf borderId="2" fillId="0" fontId="2" numFmtId="0" xfId="0" applyAlignment="1" applyBorder="1" applyFont="1">
      <alignment horizontal="center" readingOrder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5" numFmtId="0" xfId="0" applyFont="1"/>
    <xf borderId="4" fillId="3" fontId="6" numFmtId="0" xfId="0" applyAlignment="1" applyBorder="1" applyFill="1" applyFont="1">
      <alignment readingOrder="0" vertical="center"/>
    </xf>
    <xf borderId="5" fillId="0" fontId="5" numFmtId="0" xfId="0" applyAlignment="1" applyBorder="1" applyFont="1">
      <alignment readingOrder="0" vertical="center"/>
    </xf>
    <xf borderId="5" fillId="0" fontId="7" numFmtId="0" xfId="0" applyBorder="1" applyFont="1"/>
    <xf borderId="6" fillId="0" fontId="7" numFmtId="0" xfId="0" applyBorder="1" applyFont="1"/>
    <xf borderId="7" fillId="3" fontId="6" numFmtId="0" xfId="0" applyAlignment="1" applyBorder="1" applyFont="1">
      <alignment readingOrder="0" vertical="center"/>
    </xf>
    <xf borderId="8" fillId="4" fontId="8" numFmtId="0" xfId="0" applyAlignment="1" applyBorder="1" applyFill="1" applyFont="1">
      <alignment horizontal="left" readingOrder="0" vertical="center"/>
    </xf>
    <xf borderId="8" fillId="0" fontId="7" numFmtId="0" xfId="0" applyBorder="1" applyFont="1"/>
    <xf borderId="9" fillId="0" fontId="7" numFmtId="0" xfId="0" applyBorder="1" applyFont="1"/>
    <xf borderId="10" fillId="3" fontId="6" numFmtId="0" xfId="0" applyAlignment="1" applyBorder="1" applyFont="1">
      <alignment readingOrder="0" vertical="center"/>
    </xf>
    <xf borderId="0" fillId="0" fontId="5" numFmtId="0" xfId="0" applyAlignment="1" applyFont="1">
      <alignment readingOrder="0" vertical="center"/>
    </xf>
    <xf borderId="11" fillId="0" fontId="7" numFmtId="0" xfId="0" applyBorder="1" applyFont="1"/>
    <xf borderId="10" fillId="0" fontId="7" numFmtId="0" xfId="0" applyBorder="1" applyFont="1"/>
    <xf borderId="0" fillId="0" fontId="9" numFmtId="0" xfId="0" applyFont="1"/>
    <xf borderId="7" fillId="0" fontId="7" numFmtId="0" xfId="0" applyBorder="1" applyFont="1"/>
    <xf borderId="10" fillId="3" fontId="10" numFmtId="0" xfId="0" applyAlignment="1" applyBorder="1" applyFont="1">
      <alignment readingOrder="0" vertical="center"/>
    </xf>
    <xf borderId="12" fillId="0" fontId="11" numFmtId="0" xfId="0" applyAlignment="1" applyBorder="1" applyFont="1">
      <alignment readingOrder="0" vertical="center"/>
    </xf>
    <xf borderId="12" fillId="0" fontId="7" numFmtId="0" xfId="0" applyBorder="1" applyFont="1"/>
    <xf borderId="13" fillId="0" fontId="7" numFmtId="0" xfId="0" applyBorder="1" applyFont="1"/>
    <xf borderId="14" fillId="0" fontId="11" numFmtId="0" xfId="0" applyAlignment="1" applyBorder="1" applyFont="1">
      <alignment readingOrder="0" vertical="center"/>
    </xf>
    <xf borderId="14" fillId="0" fontId="7" numFmtId="0" xfId="0" applyBorder="1" applyFont="1"/>
    <xf borderId="15" fillId="0" fontId="7" numFmtId="0" xfId="0" applyBorder="1" applyFont="1"/>
    <xf borderId="16" fillId="5" fontId="11" numFmtId="0" xfId="0" applyAlignment="1" applyBorder="1" applyFill="1" applyFont="1">
      <alignment readingOrder="0" vertical="center"/>
    </xf>
    <xf borderId="17" fillId="0" fontId="11" numFmtId="0" xfId="0" applyAlignment="1" applyBorder="1" applyFont="1">
      <alignment readingOrder="0" vertical="center"/>
    </xf>
    <xf borderId="18" fillId="6" fontId="11" numFmtId="0" xfId="0" applyAlignment="1" applyBorder="1" applyFill="1" applyFont="1">
      <alignment readingOrder="0" vertical="center"/>
    </xf>
    <xf borderId="19" fillId="6" fontId="11" numFmtId="0" xfId="0" applyAlignment="1" applyBorder="1" applyFont="1">
      <alignment readingOrder="0" vertical="center"/>
    </xf>
    <xf borderId="20" fillId="6" fontId="11" numFmtId="0" xfId="0" applyAlignment="1" applyBorder="1" applyFont="1">
      <alignment readingOrder="0" vertical="center"/>
    </xf>
    <xf borderId="19" fillId="0" fontId="7" numFmtId="0" xfId="0" applyBorder="1" applyFont="1"/>
    <xf borderId="21" fillId="0" fontId="7" numFmtId="0" xfId="0" applyBorder="1" applyFont="1"/>
    <xf borderId="22" fillId="5" fontId="11" numFmtId="0" xfId="0" applyAlignment="1" applyBorder="1" applyFont="1">
      <alignment readingOrder="0" vertical="center"/>
    </xf>
    <xf borderId="19" fillId="0" fontId="11" numFmtId="0" xfId="0" applyAlignment="1" applyBorder="1" applyFont="1">
      <alignment readingOrder="0" vertical="center"/>
    </xf>
    <xf borderId="20" fillId="0" fontId="11" numFmtId="0" xfId="0" applyAlignment="1" applyBorder="1" applyFont="1">
      <alignment readingOrder="0" vertical="center"/>
    </xf>
    <xf borderId="16" fillId="0" fontId="7" numFmtId="0" xfId="0" applyBorder="1" applyFont="1"/>
    <xf borderId="23" fillId="5" fontId="11" numFmtId="0" xfId="0" applyAlignment="1" applyBorder="1" applyFont="1">
      <alignment readingOrder="0" vertical="center"/>
    </xf>
    <xf borderId="24" fillId="0" fontId="11" numFmtId="0" xfId="0" applyAlignment="1" applyBorder="1" applyFont="1">
      <alignment readingOrder="0" vertical="center"/>
    </xf>
    <xf borderId="10" fillId="6" fontId="10" numFmtId="0" xfId="0" applyAlignment="1" applyBorder="1" applyFont="1">
      <alignment readingOrder="0" vertical="center"/>
    </xf>
    <xf borderId="16" fillId="7" fontId="12" numFmtId="0" xfId="0" applyAlignment="1" applyBorder="1" applyFill="1" applyFont="1">
      <alignment readingOrder="0" vertical="center"/>
    </xf>
    <xf borderId="0" fillId="0" fontId="13" numFmtId="0" xfId="0" applyAlignment="1" applyFont="1">
      <alignment vertical="bottom"/>
    </xf>
    <xf borderId="17" fillId="6" fontId="11" numFmtId="0" xfId="0" applyAlignment="1" applyBorder="1" applyFont="1">
      <alignment readingOrder="0" vertical="center"/>
    </xf>
    <xf borderId="18" fillId="7" fontId="12" numFmtId="0" xfId="0" applyAlignment="1" applyBorder="1" applyFont="1">
      <alignment readingOrder="0" vertical="center"/>
    </xf>
    <xf borderId="18" fillId="2" fontId="12" numFmtId="0" xfId="0" applyAlignment="1" applyBorder="1" applyFont="1">
      <alignment readingOrder="0" vertical="center"/>
    </xf>
    <xf borderId="23" fillId="2" fontId="12" numFmtId="0" xfId="0" applyAlignment="1" applyBorder="1" applyFont="1">
      <alignment readingOrder="0" vertical="center"/>
    </xf>
    <xf borderId="24" fillId="6" fontId="11" numFmtId="0" xfId="0" applyAlignment="1" applyBorder="1" applyFont="1">
      <alignment vertical="center"/>
    </xf>
    <xf borderId="23" fillId="7" fontId="12" numFmtId="0" xfId="0" applyAlignment="1" applyBorder="1" applyFont="1">
      <alignment readingOrder="0" vertical="center"/>
    </xf>
    <xf borderId="0" fillId="0" fontId="9" numFmtId="0" xfId="0" applyAlignment="1" applyFont="1">
      <alignment horizontal="center" readingOrder="0"/>
    </xf>
    <xf borderId="0" fillId="4" fontId="14" numFmtId="0" xfId="0" applyAlignment="1" applyFont="1">
      <alignment horizontal="left" readingOrder="0"/>
    </xf>
    <xf borderId="0" fillId="0" fontId="15" numFmtId="49" xfId="0" applyAlignment="1" applyFont="1" applyNumberFormat="1">
      <alignment horizontal="center" readingOrder="0" vertical="center"/>
    </xf>
    <xf borderId="0" fillId="0" fontId="15" numFmtId="49" xfId="0" applyAlignment="1" applyFont="1" applyNumberFormat="1">
      <alignment horizontal="center" readingOrder="0" shrinkToFit="0" vertical="center" wrapText="1"/>
    </xf>
    <xf borderId="0" fillId="0" fontId="16" numFmtId="0" xfId="0" applyAlignment="1" applyFont="1">
      <alignment horizontal="center" readingOrder="0"/>
    </xf>
    <xf borderId="0" fillId="0" fontId="17" numFmtId="0" xfId="0" applyAlignment="1" applyFont="1">
      <alignment horizontal="left" readingOrder="0"/>
    </xf>
    <xf borderId="0" fillId="0" fontId="18" numFmtId="0" xfId="0" applyAlignment="1" applyFont="1">
      <alignment horizontal="left" readingOrder="0"/>
    </xf>
    <xf borderId="0" fillId="0" fontId="18" numFmtId="0" xfId="0" applyAlignment="1" applyFont="1">
      <alignment horizontal="left" readingOrder="0" vertical="bottom"/>
    </xf>
    <xf borderId="0" fillId="0" fontId="16" numFmtId="0" xfId="0" applyAlignment="1" applyFont="1">
      <alignment horizontal="left" readingOrder="0"/>
    </xf>
    <xf borderId="0" fillId="0" fontId="16" numFmtId="0" xfId="0" applyAlignment="1" applyFont="1">
      <alignment horizontal="left" readingOrder="0" vertical="bottom"/>
    </xf>
    <xf borderId="0" fillId="0" fontId="19" numFmtId="0" xfId="0" applyAlignment="1" applyFont="1">
      <alignment horizontal="left" readingOrder="0"/>
    </xf>
    <xf borderId="0" fillId="0" fontId="17" numFmtId="0" xfId="0" applyAlignment="1" applyFont="1">
      <alignment horizontal="left" readingOrder="0" vertical="bottom"/>
    </xf>
    <xf borderId="0" fillId="0" fontId="20" numFmtId="0" xfId="0" applyAlignment="1" applyFont="1">
      <alignment readingOrder="0"/>
    </xf>
    <xf borderId="0" fillId="0" fontId="16" numFmtId="0" xfId="0" applyAlignment="1" applyFont="1">
      <alignment horizontal="center" readingOrder="0"/>
    </xf>
    <xf borderId="0" fillId="0" fontId="21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0" numFmtId="0" xfId="0" applyFont="1"/>
    <xf borderId="0" fillId="0" fontId="20" numFmtId="0" xfId="0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color rgb="FFFF0000"/>
      </font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</dxfs>
  <tableStyles count="4">
    <tableStyle count="3" pivot="0" name="데이터-style">
      <tableStyleElement dxfId="1" type="headerRow"/>
      <tableStyleElement dxfId="2" type="firstRowStripe"/>
      <tableStyleElement dxfId="3" type="secondRowStripe"/>
    </tableStyle>
    <tableStyle count="3" pivot="0" name="원본-style">
      <tableStyleElement dxfId="1" type="headerRow"/>
      <tableStyleElement dxfId="2" type="firstRowStripe"/>
      <tableStyleElement dxfId="3" type="secondRowStripe"/>
    </tableStyle>
    <tableStyle count="2" pivot="0" name="참고-style">
      <tableStyleElement dxfId="3" type="firstRowStripe"/>
      <tableStyleElement dxfId="2" type="secondRowStripe"/>
    </tableStyle>
    <tableStyle count="3" pivot="0" name="Data-style">
      <tableStyleElement dxfId="5" type="headerRow"/>
      <tableStyleElement dxfId="6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999" displayName="Table_1" name="Table_1" id="1">
  <tableColumns count="8">
    <tableColumn name="id" id="1"/>
    <tableColumn name="tag_kr" id="2"/>
    <tableColumn name="tag_eng" id="3"/>
    <tableColumn name="imagefile" id="4"/>
    <tableColumn name="resoner_kr" id="5"/>
    <tableColumn name="resoner_eng" id="6"/>
    <tableColumn name="text_kr" id="7"/>
    <tableColumn name="text_eng" id="8"/>
  </tableColumns>
  <tableStyleInfo name="데이터-style" showColumnStripes="0" showFirstColumn="1" showLastColumn="1" showRowStripes="1"/>
</table>
</file>

<file path=xl/tables/table2.xml><?xml version="1.0" encoding="utf-8"?>
<table xmlns="http://schemas.openxmlformats.org/spreadsheetml/2006/main" headerRowCount="0" ref="A1:J999" displayName="Table_2" name="Table_2" id="2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원본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D16:D22" displayName="Table_3" name="Table_3" id="3">
  <tableColumns count="1">
    <tableColumn name="Column1" id="1"/>
  </tableColumns>
  <tableStyleInfo name="참고-style" showColumnStripes="0" showFirstColumn="1" showLastColumn="1" showRowStripes="1"/>
</table>
</file>

<file path=xl/tables/table4.xml><?xml version="1.0" encoding="utf-8"?>
<table xmlns="http://schemas.openxmlformats.org/spreadsheetml/2006/main" ref="A1:D1000" displayName="Table_4" name="Table_4" id="4">
  <tableColumns count="4">
    <tableColumn name="NO" id="1"/>
    <tableColumn name="LANG" id="2"/>
    <tableColumn name="CONTENTS" id="3"/>
    <tableColumn name="RESONER" id="4"/>
  </tableColumns>
  <tableStyleInfo name="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25"/>
    <col customWidth="1" min="2" max="2" width="4.75"/>
    <col customWidth="1" min="3" max="3" width="11.63"/>
    <col customWidth="1" min="4" max="4" width="10.25"/>
    <col customWidth="1" min="5" max="5" width="17.38"/>
    <col customWidth="1" min="6" max="6" width="20.75"/>
    <col customWidth="1" min="7" max="7" width="100.75"/>
    <col customWidth="1" min="8" max="8" width="118.13"/>
  </cols>
  <sheetData>
    <row r="1" ht="18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>
      <c r="A2" s="3">
        <v>10001.0</v>
      </c>
      <c r="B2" s="4" t="s">
        <v>8</v>
      </c>
      <c r="C2" s="4" t="s">
        <v>9</v>
      </c>
      <c r="D2" s="4" t="s">
        <v>10</v>
      </c>
      <c r="E2" s="4" t="s">
        <v>11</v>
      </c>
      <c r="F2" s="5" t="s">
        <v>12</v>
      </c>
      <c r="G2" s="4" t="s">
        <v>13</v>
      </c>
      <c r="H2" s="4" t="s">
        <v>14</v>
      </c>
    </row>
    <row r="3">
      <c r="A3" s="3">
        <v>10002.0</v>
      </c>
      <c r="B3" s="4" t="s">
        <v>8</v>
      </c>
      <c r="C3" s="4" t="s">
        <v>9</v>
      </c>
      <c r="D3" s="4" t="s">
        <v>15</v>
      </c>
      <c r="E3" s="4" t="s">
        <v>16</v>
      </c>
      <c r="F3" s="5" t="s">
        <v>17</v>
      </c>
      <c r="G3" s="4" t="s">
        <v>18</v>
      </c>
      <c r="H3" s="4" t="s">
        <v>19</v>
      </c>
    </row>
    <row r="4">
      <c r="A4" s="3">
        <v>10003.0</v>
      </c>
      <c r="B4" s="4" t="s">
        <v>8</v>
      </c>
      <c r="C4" s="4" t="s">
        <v>9</v>
      </c>
      <c r="D4" s="4" t="s">
        <v>20</v>
      </c>
      <c r="E4" s="6" t="s">
        <v>21</v>
      </c>
      <c r="F4" s="4" t="s">
        <v>22</v>
      </c>
      <c r="G4" s="4" t="s">
        <v>23</v>
      </c>
      <c r="H4" s="4" t="s">
        <v>24</v>
      </c>
    </row>
    <row r="5">
      <c r="A5" s="3">
        <v>10004.0</v>
      </c>
      <c r="B5" s="4" t="s">
        <v>8</v>
      </c>
      <c r="C5" s="4" t="s">
        <v>9</v>
      </c>
      <c r="D5" s="4" t="s">
        <v>25</v>
      </c>
      <c r="E5" s="7" t="s">
        <v>26</v>
      </c>
      <c r="F5" s="7" t="s">
        <v>27</v>
      </c>
      <c r="G5" s="7" t="s">
        <v>28</v>
      </c>
      <c r="H5" s="7" t="s">
        <v>29</v>
      </c>
    </row>
    <row r="6">
      <c r="A6" s="3">
        <v>10005.0</v>
      </c>
      <c r="B6" s="4" t="s">
        <v>8</v>
      </c>
      <c r="C6" s="4" t="s">
        <v>9</v>
      </c>
      <c r="D6" s="4" t="s">
        <v>30</v>
      </c>
      <c r="E6" s="8" t="s">
        <v>31</v>
      </c>
      <c r="F6" s="8" t="s">
        <v>32</v>
      </c>
      <c r="G6" s="4" t="s">
        <v>33</v>
      </c>
      <c r="H6" s="4" t="s">
        <v>34</v>
      </c>
    </row>
    <row r="7">
      <c r="A7" s="3">
        <v>10006.0</v>
      </c>
      <c r="B7" s="4" t="s">
        <v>8</v>
      </c>
      <c r="C7" s="4" t="s">
        <v>9</v>
      </c>
      <c r="D7" s="4" t="s">
        <v>35</v>
      </c>
      <c r="E7" s="4" t="s">
        <v>36</v>
      </c>
      <c r="F7" s="4" t="s">
        <v>37</v>
      </c>
      <c r="G7" s="4" t="s">
        <v>38</v>
      </c>
      <c r="H7" s="4" t="s">
        <v>39</v>
      </c>
    </row>
    <row r="8">
      <c r="A8" s="3">
        <v>10007.0</v>
      </c>
      <c r="B8" s="4" t="s">
        <v>8</v>
      </c>
      <c r="C8" s="4" t="s">
        <v>9</v>
      </c>
      <c r="D8" s="4" t="s">
        <v>40</v>
      </c>
      <c r="E8" s="7" t="s">
        <v>41</v>
      </c>
      <c r="F8" s="4" t="s">
        <v>42</v>
      </c>
      <c r="G8" s="4" t="s">
        <v>43</v>
      </c>
      <c r="H8" s="4" t="s">
        <v>44</v>
      </c>
    </row>
    <row r="9">
      <c r="A9" s="3">
        <v>10008.0</v>
      </c>
      <c r="B9" s="4" t="s">
        <v>8</v>
      </c>
      <c r="C9" s="4" t="s">
        <v>9</v>
      </c>
      <c r="D9" s="4" t="s">
        <v>45</v>
      </c>
      <c r="E9" s="7" t="s">
        <v>46</v>
      </c>
      <c r="F9" s="4" t="s">
        <v>47</v>
      </c>
      <c r="G9" s="4" t="s">
        <v>48</v>
      </c>
      <c r="H9" s="4" t="s">
        <v>49</v>
      </c>
    </row>
    <row r="10">
      <c r="A10" s="3">
        <v>10009.0</v>
      </c>
      <c r="B10" s="4" t="s">
        <v>50</v>
      </c>
      <c r="C10" s="4" t="s">
        <v>51</v>
      </c>
      <c r="D10" s="4" t="s">
        <v>52</v>
      </c>
      <c r="E10" s="4" t="s">
        <v>53</v>
      </c>
      <c r="F10" s="4" t="s">
        <v>54</v>
      </c>
      <c r="G10" s="4" t="s">
        <v>55</v>
      </c>
      <c r="H10" s="4" t="s">
        <v>56</v>
      </c>
    </row>
    <row r="11">
      <c r="A11" s="3">
        <v>10010.0</v>
      </c>
      <c r="B11" s="4" t="s">
        <v>50</v>
      </c>
      <c r="C11" s="4" t="s">
        <v>51</v>
      </c>
      <c r="D11" s="4" t="s">
        <v>57</v>
      </c>
      <c r="E11" s="4" t="s">
        <v>58</v>
      </c>
      <c r="F11" s="4" t="s">
        <v>59</v>
      </c>
      <c r="G11" s="4" t="s">
        <v>60</v>
      </c>
      <c r="H11" s="4" t="s">
        <v>61</v>
      </c>
    </row>
    <row r="12">
      <c r="A12" s="3">
        <v>10011.0</v>
      </c>
      <c r="B12" s="4" t="s">
        <v>50</v>
      </c>
      <c r="C12" s="4" t="s">
        <v>51</v>
      </c>
      <c r="D12" s="4" t="s">
        <v>62</v>
      </c>
      <c r="E12" s="7" t="s">
        <v>63</v>
      </c>
      <c r="F12" s="4" t="s">
        <v>64</v>
      </c>
      <c r="G12" s="4" t="s">
        <v>65</v>
      </c>
      <c r="H12" s="4" t="s">
        <v>66</v>
      </c>
    </row>
    <row r="13">
      <c r="A13" s="3">
        <v>10012.0</v>
      </c>
      <c r="B13" s="4" t="s">
        <v>50</v>
      </c>
      <c r="C13" s="4" t="s">
        <v>51</v>
      </c>
      <c r="D13" s="4" t="s">
        <v>67</v>
      </c>
      <c r="E13" s="4" t="s">
        <v>68</v>
      </c>
      <c r="F13" s="4" t="s">
        <v>69</v>
      </c>
      <c r="G13" s="9" t="s">
        <v>70</v>
      </c>
      <c r="H13" s="4" t="s">
        <v>71</v>
      </c>
    </row>
    <row r="14">
      <c r="A14" s="3">
        <v>10013.0</v>
      </c>
      <c r="B14" s="4" t="s">
        <v>50</v>
      </c>
      <c r="C14" s="4" t="s">
        <v>51</v>
      </c>
      <c r="D14" s="4" t="s">
        <v>72</v>
      </c>
      <c r="E14" s="4" t="s">
        <v>73</v>
      </c>
      <c r="F14" s="5" t="s">
        <v>74</v>
      </c>
      <c r="G14" s="4" t="s">
        <v>75</v>
      </c>
      <c r="H14" s="4" t="s">
        <v>76</v>
      </c>
    </row>
    <row r="15">
      <c r="A15" s="3">
        <v>10014.0</v>
      </c>
      <c r="B15" s="4" t="s">
        <v>50</v>
      </c>
      <c r="C15" s="4" t="s">
        <v>51</v>
      </c>
      <c r="D15" s="4" t="s">
        <v>77</v>
      </c>
      <c r="E15" s="7" t="s">
        <v>78</v>
      </c>
      <c r="F15" s="4" t="s">
        <v>79</v>
      </c>
      <c r="G15" s="4" t="s">
        <v>80</v>
      </c>
      <c r="H15" s="4" t="s">
        <v>81</v>
      </c>
    </row>
    <row r="16">
      <c r="A16" s="10">
        <v>10015.0</v>
      </c>
      <c r="B16" s="8" t="s">
        <v>8</v>
      </c>
      <c r="C16" s="8" t="s">
        <v>9</v>
      </c>
      <c r="D16" s="7" t="s">
        <v>82</v>
      </c>
      <c r="E16" s="8" t="s">
        <v>83</v>
      </c>
      <c r="F16" s="8" t="s">
        <v>84</v>
      </c>
      <c r="G16" s="8" t="s">
        <v>85</v>
      </c>
      <c r="H16" s="8" t="s">
        <v>86</v>
      </c>
    </row>
    <row r="17">
      <c r="A17" s="3">
        <v>10016.0</v>
      </c>
      <c r="B17" s="4" t="s">
        <v>50</v>
      </c>
      <c r="C17" s="4" t="s">
        <v>51</v>
      </c>
      <c r="D17" s="4" t="s">
        <v>87</v>
      </c>
      <c r="E17" s="5" t="s">
        <v>88</v>
      </c>
      <c r="F17" s="5" t="s">
        <v>89</v>
      </c>
      <c r="G17" s="5" t="s">
        <v>90</v>
      </c>
      <c r="H17" s="5" t="s">
        <v>91</v>
      </c>
    </row>
    <row r="18">
      <c r="A18" s="3">
        <v>10017.0</v>
      </c>
      <c r="B18" s="4" t="s">
        <v>50</v>
      </c>
      <c r="C18" s="4" t="s">
        <v>51</v>
      </c>
      <c r="D18" s="4" t="s">
        <v>62</v>
      </c>
      <c r="E18" s="6" t="s">
        <v>63</v>
      </c>
      <c r="F18" s="5" t="s">
        <v>64</v>
      </c>
      <c r="G18" s="5" t="s">
        <v>92</v>
      </c>
      <c r="H18" s="5" t="s">
        <v>93</v>
      </c>
    </row>
    <row r="19">
      <c r="A19" s="3">
        <v>10018.0</v>
      </c>
      <c r="B19" s="4" t="s">
        <v>8</v>
      </c>
      <c r="C19" s="4" t="s">
        <v>9</v>
      </c>
      <c r="D19" s="4" t="s">
        <v>25</v>
      </c>
      <c r="E19" s="6" t="s">
        <v>26</v>
      </c>
      <c r="F19" s="5" t="s">
        <v>27</v>
      </c>
      <c r="G19" s="5" t="s">
        <v>94</v>
      </c>
      <c r="H19" s="5" t="s">
        <v>95</v>
      </c>
    </row>
    <row r="20">
      <c r="A20" s="3">
        <v>10019.0</v>
      </c>
      <c r="B20" s="4" t="s">
        <v>8</v>
      </c>
      <c r="C20" s="4" t="s">
        <v>9</v>
      </c>
      <c r="D20" s="4" t="s">
        <v>96</v>
      </c>
      <c r="E20" s="6" t="s">
        <v>97</v>
      </c>
      <c r="F20" s="5" t="s">
        <v>98</v>
      </c>
      <c r="G20" s="5" t="s">
        <v>99</v>
      </c>
      <c r="H20" s="5" t="s">
        <v>100</v>
      </c>
    </row>
    <row r="21">
      <c r="A21" s="3">
        <v>10020.0</v>
      </c>
      <c r="B21" s="4" t="s">
        <v>8</v>
      </c>
      <c r="C21" s="4" t="s">
        <v>9</v>
      </c>
      <c r="D21" s="4" t="s">
        <v>101</v>
      </c>
      <c r="E21" s="5" t="s">
        <v>102</v>
      </c>
      <c r="F21" s="5" t="s">
        <v>103</v>
      </c>
      <c r="G21" s="5" t="s">
        <v>104</v>
      </c>
      <c r="H21" s="5" t="s">
        <v>105</v>
      </c>
    </row>
    <row r="22">
      <c r="A22" s="3">
        <v>10021.0</v>
      </c>
      <c r="B22" s="4" t="s">
        <v>8</v>
      </c>
      <c r="C22" s="4" t="s">
        <v>9</v>
      </c>
      <c r="D22" s="4" t="s">
        <v>20</v>
      </c>
      <c r="E22" s="6" t="s">
        <v>21</v>
      </c>
      <c r="F22" s="5" t="s">
        <v>22</v>
      </c>
      <c r="G22" s="5" t="s">
        <v>106</v>
      </c>
      <c r="H22" s="5" t="s">
        <v>107</v>
      </c>
    </row>
    <row r="23">
      <c r="A23" s="3">
        <v>10022.0</v>
      </c>
      <c r="B23" s="4" t="s">
        <v>8</v>
      </c>
      <c r="C23" s="4" t="s">
        <v>9</v>
      </c>
      <c r="D23" s="4" t="s">
        <v>108</v>
      </c>
      <c r="E23" s="8" t="s">
        <v>109</v>
      </c>
      <c r="F23" s="8" t="s">
        <v>110</v>
      </c>
      <c r="G23" s="5" t="s">
        <v>111</v>
      </c>
      <c r="H23" s="5" t="s">
        <v>112</v>
      </c>
    </row>
    <row r="24">
      <c r="A24" s="3">
        <v>10023.0</v>
      </c>
      <c r="B24" s="4" t="s">
        <v>8</v>
      </c>
      <c r="C24" s="4" t="s">
        <v>9</v>
      </c>
      <c r="D24" s="4" t="s">
        <v>113</v>
      </c>
      <c r="E24" s="5" t="s">
        <v>114</v>
      </c>
      <c r="F24" s="5" t="s">
        <v>115</v>
      </c>
      <c r="G24" s="5" t="s">
        <v>116</v>
      </c>
      <c r="H24" s="5" t="s">
        <v>117</v>
      </c>
    </row>
    <row r="25">
      <c r="A25" s="3">
        <v>10024.0</v>
      </c>
      <c r="B25" s="4" t="s">
        <v>8</v>
      </c>
      <c r="C25" s="4" t="s">
        <v>9</v>
      </c>
      <c r="D25" s="4" t="s">
        <v>118</v>
      </c>
      <c r="E25" s="5" t="s">
        <v>119</v>
      </c>
      <c r="F25" s="5" t="s">
        <v>120</v>
      </c>
      <c r="G25" s="5" t="s">
        <v>121</v>
      </c>
      <c r="H25" s="5" t="s">
        <v>122</v>
      </c>
    </row>
    <row r="26">
      <c r="A26" s="3">
        <v>10025.0</v>
      </c>
      <c r="B26" s="4" t="s">
        <v>8</v>
      </c>
      <c r="C26" s="4" t="s">
        <v>9</v>
      </c>
      <c r="D26" s="4" t="s">
        <v>123</v>
      </c>
      <c r="E26" s="5" t="s">
        <v>124</v>
      </c>
      <c r="F26" s="5" t="s">
        <v>125</v>
      </c>
      <c r="G26" s="5" t="s">
        <v>126</v>
      </c>
      <c r="H26" s="5" t="s">
        <v>127</v>
      </c>
    </row>
    <row r="27">
      <c r="A27" s="3">
        <v>10026.0</v>
      </c>
      <c r="B27" s="4" t="s">
        <v>8</v>
      </c>
      <c r="C27" s="4" t="s">
        <v>9</v>
      </c>
      <c r="D27" s="4" t="s">
        <v>128</v>
      </c>
      <c r="E27" s="6" t="s">
        <v>129</v>
      </c>
      <c r="F27" s="5" t="s">
        <v>130</v>
      </c>
      <c r="G27" s="5" t="s">
        <v>131</v>
      </c>
      <c r="H27" s="5" t="s">
        <v>132</v>
      </c>
    </row>
    <row r="28">
      <c r="A28" s="3">
        <v>10027.0</v>
      </c>
      <c r="B28" s="4" t="s">
        <v>8</v>
      </c>
      <c r="C28" s="4" t="s">
        <v>9</v>
      </c>
      <c r="D28" s="4" t="s">
        <v>77</v>
      </c>
      <c r="E28" s="7" t="s">
        <v>78</v>
      </c>
      <c r="F28" s="5" t="s">
        <v>133</v>
      </c>
      <c r="G28" s="5" t="s">
        <v>134</v>
      </c>
      <c r="H28" s="5" t="s">
        <v>135</v>
      </c>
    </row>
    <row r="29">
      <c r="A29" s="3">
        <v>10028.0</v>
      </c>
      <c r="B29" s="4" t="s">
        <v>8</v>
      </c>
      <c r="C29" s="4" t="s">
        <v>9</v>
      </c>
      <c r="D29" s="4" t="s">
        <v>40</v>
      </c>
      <c r="E29" s="6" t="s">
        <v>136</v>
      </c>
      <c r="F29" s="5" t="s">
        <v>137</v>
      </c>
      <c r="G29" s="5" t="s">
        <v>138</v>
      </c>
      <c r="H29" s="5" t="s">
        <v>139</v>
      </c>
    </row>
    <row r="30">
      <c r="A30" s="3">
        <v>10029.0</v>
      </c>
      <c r="B30" s="4" t="s">
        <v>8</v>
      </c>
      <c r="C30" s="4" t="s">
        <v>9</v>
      </c>
      <c r="D30" s="4" t="s">
        <v>140</v>
      </c>
      <c r="E30" s="5" t="s">
        <v>141</v>
      </c>
      <c r="F30" s="5" t="s">
        <v>140</v>
      </c>
      <c r="G30" s="5" t="s">
        <v>142</v>
      </c>
      <c r="H30" s="5" t="s">
        <v>143</v>
      </c>
    </row>
    <row r="31">
      <c r="A31" s="3">
        <v>10030.0</v>
      </c>
      <c r="B31" s="4" t="s">
        <v>8</v>
      </c>
      <c r="C31" s="4" t="s">
        <v>9</v>
      </c>
      <c r="D31" s="4" t="s">
        <v>144</v>
      </c>
      <c r="E31" s="5" t="s">
        <v>145</v>
      </c>
      <c r="F31" s="5" t="s">
        <v>146</v>
      </c>
      <c r="G31" s="5" t="s">
        <v>147</v>
      </c>
      <c r="H31" s="5" t="s">
        <v>148</v>
      </c>
    </row>
    <row r="32">
      <c r="A32" s="3">
        <v>10031.0</v>
      </c>
      <c r="B32" s="4" t="s">
        <v>8</v>
      </c>
      <c r="C32" s="4" t="s">
        <v>9</v>
      </c>
      <c r="D32" s="4" t="s">
        <v>149</v>
      </c>
      <c r="E32" s="6" t="s">
        <v>150</v>
      </c>
      <c r="F32" s="5" t="s">
        <v>151</v>
      </c>
      <c r="G32" s="5" t="s">
        <v>152</v>
      </c>
      <c r="H32" s="5" t="s">
        <v>153</v>
      </c>
    </row>
    <row r="33">
      <c r="A33" s="3">
        <v>10032.0</v>
      </c>
      <c r="B33" s="4" t="s">
        <v>8</v>
      </c>
      <c r="C33" s="4" t="s">
        <v>9</v>
      </c>
      <c r="D33" s="4" t="s">
        <v>30</v>
      </c>
      <c r="E33" s="8" t="s">
        <v>31</v>
      </c>
      <c r="F33" s="8" t="s">
        <v>32</v>
      </c>
      <c r="G33" s="5" t="s">
        <v>154</v>
      </c>
      <c r="H33" s="5" t="s">
        <v>155</v>
      </c>
    </row>
    <row r="34">
      <c r="A34" s="3">
        <v>10033.0</v>
      </c>
      <c r="B34" s="4" t="s">
        <v>8</v>
      </c>
      <c r="C34" s="4" t="s">
        <v>9</v>
      </c>
      <c r="D34" s="4" t="s">
        <v>156</v>
      </c>
      <c r="E34" s="5" t="s">
        <v>157</v>
      </c>
      <c r="F34" s="5" t="s">
        <v>158</v>
      </c>
      <c r="G34" s="5" t="s">
        <v>159</v>
      </c>
      <c r="H34" s="5" t="s">
        <v>160</v>
      </c>
    </row>
    <row r="35">
      <c r="A35" s="3">
        <v>10034.0</v>
      </c>
      <c r="B35" s="4" t="s">
        <v>8</v>
      </c>
      <c r="C35" s="4" t="s">
        <v>9</v>
      </c>
      <c r="D35" s="4" t="s">
        <v>161</v>
      </c>
      <c r="E35" s="5" t="s">
        <v>162</v>
      </c>
      <c r="F35" s="5" t="s">
        <v>163</v>
      </c>
      <c r="G35" s="5" t="s">
        <v>164</v>
      </c>
      <c r="H35" s="5" t="s">
        <v>165</v>
      </c>
    </row>
    <row r="36">
      <c r="A36" s="3">
        <v>10035.0</v>
      </c>
      <c r="B36" s="4" t="s">
        <v>8</v>
      </c>
      <c r="C36" s="4" t="s">
        <v>9</v>
      </c>
      <c r="D36" s="4" t="s">
        <v>166</v>
      </c>
      <c r="E36" s="5" t="s">
        <v>167</v>
      </c>
      <c r="F36" s="5" t="s">
        <v>168</v>
      </c>
      <c r="G36" s="5" t="s">
        <v>169</v>
      </c>
      <c r="H36" s="5" t="s">
        <v>170</v>
      </c>
    </row>
    <row r="37">
      <c r="A37" s="3">
        <v>10036.0</v>
      </c>
      <c r="B37" s="4" t="s">
        <v>8</v>
      </c>
      <c r="C37" s="4" t="s">
        <v>9</v>
      </c>
      <c r="D37" s="4" t="s">
        <v>171</v>
      </c>
      <c r="E37" s="5" t="s">
        <v>172</v>
      </c>
      <c r="F37" s="5" t="s">
        <v>173</v>
      </c>
      <c r="G37" s="5" t="s">
        <v>174</v>
      </c>
      <c r="H37" s="5" t="s">
        <v>175</v>
      </c>
    </row>
    <row r="38">
      <c r="A38" s="3">
        <v>10037.0</v>
      </c>
      <c r="B38" s="4" t="s">
        <v>8</v>
      </c>
      <c r="C38" s="4" t="s">
        <v>9</v>
      </c>
      <c r="D38" s="4" t="s">
        <v>128</v>
      </c>
      <c r="E38" s="6" t="s">
        <v>129</v>
      </c>
      <c r="F38" s="5" t="s">
        <v>130</v>
      </c>
      <c r="G38" s="5" t="s">
        <v>176</v>
      </c>
      <c r="H38" s="5" t="s">
        <v>177</v>
      </c>
    </row>
    <row r="39">
      <c r="A39" s="3">
        <v>10038.0</v>
      </c>
      <c r="B39" s="4" t="s">
        <v>8</v>
      </c>
      <c r="C39" s="4" t="s">
        <v>9</v>
      </c>
      <c r="D39" s="4" t="s">
        <v>178</v>
      </c>
      <c r="E39" s="11" t="s">
        <v>179</v>
      </c>
      <c r="F39" s="12" t="s">
        <v>178</v>
      </c>
      <c r="G39" s="12" t="s">
        <v>180</v>
      </c>
      <c r="H39" s="12" t="s">
        <v>181</v>
      </c>
    </row>
    <row r="40">
      <c r="A40" s="3">
        <v>10039.0</v>
      </c>
      <c r="B40" s="4" t="s">
        <v>8</v>
      </c>
      <c r="C40" s="4" t="s">
        <v>9</v>
      </c>
      <c r="D40" s="4" t="s">
        <v>178</v>
      </c>
      <c r="E40" s="11" t="s">
        <v>179</v>
      </c>
      <c r="F40" s="12" t="s">
        <v>178</v>
      </c>
      <c r="G40" s="12" t="s">
        <v>182</v>
      </c>
      <c r="H40" s="12" t="s">
        <v>183</v>
      </c>
    </row>
    <row r="41">
      <c r="A41" s="3">
        <v>10040.0</v>
      </c>
      <c r="B41" s="4" t="s">
        <v>8</v>
      </c>
      <c r="C41" s="4" t="s">
        <v>9</v>
      </c>
      <c r="D41" s="4" t="s">
        <v>40</v>
      </c>
      <c r="E41" s="11" t="s">
        <v>184</v>
      </c>
      <c r="F41" s="12" t="s">
        <v>185</v>
      </c>
      <c r="G41" s="12" t="s">
        <v>186</v>
      </c>
      <c r="H41" s="12" t="s">
        <v>187</v>
      </c>
    </row>
    <row r="42">
      <c r="A42" s="3">
        <v>10041.0</v>
      </c>
      <c r="B42" s="4" t="s">
        <v>8</v>
      </c>
      <c r="C42" s="4" t="s">
        <v>9</v>
      </c>
      <c r="D42" s="4" t="s">
        <v>40</v>
      </c>
      <c r="E42" s="11" t="s">
        <v>184</v>
      </c>
      <c r="F42" s="12" t="s">
        <v>185</v>
      </c>
      <c r="G42" s="12" t="s">
        <v>188</v>
      </c>
      <c r="H42" s="12" t="s">
        <v>189</v>
      </c>
    </row>
    <row r="43">
      <c r="A43" s="3">
        <v>10042.0</v>
      </c>
      <c r="B43" s="4" t="s">
        <v>8</v>
      </c>
      <c r="C43" s="4" t="s">
        <v>9</v>
      </c>
      <c r="D43" s="4" t="s">
        <v>190</v>
      </c>
      <c r="E43" s="12" t="s">
        <v>191</v>
      </c>
      <c r="F43" s="12" t="s">
        <v>190</v>
      </c>
      <c r="G43" s="12" t="s">
        <v>192</v>
      </c>
      <c r="H43" s="12" t="s">
        <v>193</v>
      </c>
    </row>
    <row r="44">
      <c r="A44" s="3">
        <v>10043.0</v>
      </c>
      <c r="B44" s="4" t="s">
        <v>8</v>
      </c>
      <c r="C44" s="4" t="s">
        <v>9</v>
      </c>
      <c r="D44" s="4" t="s">
        <v>194</v>
      </c>
      <c r="E44" s="12" t="s">
        <v>195</v>
      </c>
      <c r="F44" s="12" t="s">
        <v>196</v>
      </c>
      <c r="G44" s="12" t="s">
        <v>197</v>
      </c>
      <c r="H44" s="12" t="s">
        <v>198</v>
      </c>
    </row>
    <row r="45">
      <c r="A45" s="3">
        <v>10044.0</v>
      </c>
      <c r="B45" s="4" t="s">
        <v>8</v>
      </c>
      <c r="C45" s="4" t="s">
        <v>9</v>
      </c>
      <c r="D45" s="4" t="s">
        <v>199</v>
      </c>
      <c r="E45" s="12" t="s">
        <v>200</v>
      </c>
      <c r="F45" s="12" t="s">
        <v>201</v>
      </c>
      <c r="G45" s="12" t="s">
        <v>202</v>
      </c>
      <c r="H45" s="12" t="s">
        <v>203</v>
      </c>
    </row>
    <row r="46">
      <c r="A46" s="3">
        <v>10045.0</v>
      </c>
      <c r="B46" s="4" t="s">
        <v>8</v>
      </c>
      <c r="C46" s="4" t="s">
        <v>9</v>
      </c>
      <c r="D46" s="4" t="s">
        <v>204</v>
      </c>
      <c r="E46" s="12" t="s">
        <v>205</v>
      </c>
      <c r="F46" s="12" t="s">
        <v>206</v>
      </c>
      <c r="G46" s="12" t="s">
        <v>207</v>
      </c>
      <c r="H46" s="12" t="s">
        <v>208</v>
      </c>
    </row>
    <row r="47">
      <c r="A47" s="3">
        <v>10046.0</v>
      </c>
      <c r="B47" s="4" t="s">
        <v>8</v>
      </c>
      <c r="C47" s="4" t="s">
        <v>9</v>
      </c>
      <c r="D47" s="4" t="s">
        <v>40</v>
      </c>
      <c r="E47" s="11" t="s">
        <v>209</v>
      </c>
      <c r="F47" s="12" t="s">
        <v>210</v>
      </c>
      <c r="G47" s="12" t="s">
        <v>211</v>
      </c>
      <c r="H47" s="12" t="s">
        <v>212</v>
      </c>
    </row>
    <row r="48">
      <c r="A48" s="3">
        <v>10047.0</v>
      </c>
      <c r="B48" s="4" t="s">
        <v>8</v>
      </c>
      <c r="C48" s="4" t="s">
        <v>9</v>
      </c>
      <c r="D48" s="4" t="s">
        <v>213</v>
      </c>
      <c r="E48" s="12" t="s">
        <v>214</v>
      </c>
      <c r="F48" s="12" t="s">
        <v>215</v>
      </c>
      <c r="G48" s="12" t="s">
        <v>216</v>
      </c>
      <c r="H48" s="12" t="s">
        <v>217</v>
      </c>
    </row>
    <row r="49">
      <c r="A49" s="3">
        <v>10048.0</v>
      </c>
      <c r="B49" s="4" t="s">
        <v>8</v>
      </c>
      <c r="C49" s="4" t="s">
        <v>9</v>
      </c>
      <c r="D49" s="4" t="s">
        <v>40</v>
      </c>
      <c r="E49" s="11" t="s">
        <v>41</v>
      </c>
      <c r="F49" s="12" t="s">
        <v>42</v>
      </c>
      <c r="G49" s="12" t="s">
        <v>218</v>
      </c>
      <c r="H49" s="12" t="s">
        <v>219</v>
      </c>
    </row>
    <row r="50">
      <c r="A50" s="3">
        <v>10049.0</v>
      </c>
      <c r="B50" s="4" t="s">
        <v>8</v>
      </c>
      <c r="C50" s="4" t="s">
        <v>9</v>
      </c>
      <c r="D50" s="4" t="s">
        <v>45</v>
      </c>
      <c r="E50" s="11" t="s">
        <v>46</v>
      </c>
      <c r="F50" s="12" t="s">
        <v>47</v>
      </c>
      <c r="G50" s="12" t="s">
        <v>220</v>
      </c>
      <c r="H50" s="12" t="s">
        <v>221</v>
      </c>
    </row>
    <row r="51">
      <c r="A51" s="3">
        <v>10050.0</v>
      </c>
      <c r="B51" s="4" t="s">
        <v>8</v>
      </c>
      <c r="C51" s="4" t="s">
        <v>9</v>
      </c>
      <c r="D51" s="4" t="s">
        <v>40</v>
      </c>
      <c r="E51" s="11" t="s">
        <v>222</v>
      </c>
      <c r="F51" s="12" t="s">
        <v>223</v>
      </c>
      <c r="G51" s="12" t="s">
        <v>224</v>
      </c>
      <c r="H51" s="12" t="s">
        <v>225</v>
      </c>
    </row>
    <row r="52">
      <c r="A52" s="3">
        <v>10051.0</v>
      </c>
      <c r="B52" s="4" t="s">
        <v>8</v>
      </c>
      <c r="C52" s="4" t="s">
        <v>9</v>
      </c>
      <c r="D52" s="4" t="s">
        <v>40</v>
      </c>
      <c r="E52" s="11" t="s">
        <v>226</v>
      </c>
      <c r="F52" s="12" t="s">
        <v>227</v>
      </c>
      <c r="G52" s="12" t="s">
        <v>228</v>
      </c>
      <c r="H52" s="12" t="s">
        <v>229</v>
      </c>
    </row>
    <row r="53">
      <c r="A53" s="3">
        <v>10052.0</v>
      </c>
      <c r="B53" s="4" t="s">
        <v>8</v>
      </c>
      <c r="C53" s="4" t="s">
        <v>9</v>
      </c>
      <c r="D53" s="4" t="s">
        <v>230</v>
      </c>
      <c r="E53" s="12" t="s">
        <v>231</v>
      </c>
      <c r="F53" s="12" t="s">
        <v>232</v>
      </c>
      <c r="G53" s="12" t="s">
        <v>233</v>
      </c>
      <c r="H53" s="12" t="s">
        <v>234</v>
      </c>
    </row>
    <row r="54">
      <c r="A54" s="3">
        <v>10053.0</v>
      </c>
      <c r="B54" s="4" t="s">
        <v>8</v>
      </c>
      <c r="C54" s="4" t="s">
        <v>9</v>
      </c>
      <c r="D54" s="4" t="s">
        <v>235</v>
      </c>
      <c r="E54" s="8" t="s">
        <v>236</v>
      </c>
      <c r="F54" s="8" t="s">
        <v>237</v>
      </c>
      <c r="G54" s="12" t="s">
        <v>238</v>
      </c>
      <c r="H54" s="12" t="s">
        <v>239</v>
      </c>
    </row>
    <row r="55">
      <c r="A55" s="3">
        <v>10054.0</v>
      </c>
      <c r="B55" s="4" t="s">
        <v>8</v>
      </c>
      <c r="C55" s="4" t="s">
        <v>9</v>
      </c>
      <c r="D55" s="4" t="s">
        <v>240</v>
      </c>
      <c r="E55" s="12" t="s">
        <v>241</v>
      </c>
      <c r="F55" s="12" t="s">
        <v>242</v>
      </c>
      <c r="G55" s="12" t="s">
        <v>243</v>
      </c>
      <c r="H55" s="12" t="s">
        <v>244</v>
      </c>
    </row>
    <row r="56">
      <c r="A56" s="3">
        <v>10055.0</v>
      </c>
      <c r="B56" s="4" t="s">
        <v>8</v>
      </c>
      <c r="C56" s="4" t="s">
        <v>9</v>
      </c>
      <c r="D56" s="4" t="s">
        <v>40</v>
      </c>
      <c r="E56" s="11" t="s">
        <v>245</v>
      </c>
      <c r="F56" s="12" t="s">
        <v>246</v>
      </c>
      <c r="G56" s="12" t="s">
        <v>247</v>
      </c>
      <c r="H56" s="12" t="s">
        <v>248</v>
      </c>
    </row>
    <row r="57">
      <c r="A57" s="3">
        <v>10056.0</v>
      </c>
      <c r="B57" s="4" t="s">
        <v>8</v>
      </c>
      <c r="C57" s="4" t="s">
        <v>9</v>
      </c>
      <c r="D57" s="4" t="s">
        <v>249</v>
      </c>
      <c r="E57" s="12" t="s">
        <v>250</v>
      </c>
      <c r="F57" s="12" t="s">
        <v>251</v>
      </c>
      <c r="G57" s="12" t="s">
        <v>252</v>
      </c>
      <c r="H57" s="12" t="s">
        <v>253</v>
      </c>
    </row>
    <row r="58">
      <c r="A58" s="3">
        <v>10057.0</v>
      </c>
      <c r="B58" s="4" t="s">
        <v>8</v>
      </c>
      <c r="C58" s="4" t="s">
        <v>9</v>
      </c>
      <c r="D58" s="4" t="s">
        <v>128</v>
      </c>
      <c r="E58" s="11" t="s">
        <v>129</v>
      </c>
      <c r="F58" s="12" t="s">
        <v>130</v>
      </c>
      <c r="G58" s="12" t="s">
        <v>254</v>
      </c>
      <c r="H58" s="12" t="s">
        <v>255</v>
      </c>
    </row>
    <row r="59">
      <c r="A59" s="3">
        <v>10058.0</v>
      </c>
      <c r="B59" s="4" t="s">
        <v>8</v>
      </c>
      <c r="C59" s="4" t="s">
        <v>9</v>
      </c>
      <c r="D59" s="4" t="s">
        <v>256</v>
      </c>
      <c r="E59" s="12" t="s">
        <v>257</v>
      </c>
      <c r="F59" s="12" t="s">
        <v>258</v>
      </c>
      <c r="G59" s="12" t="s">
        <v>259</v>
      </c>
      <c r="H59" s="12" t="s">
        <v>260</v>
      </c>
    </row>
    <row r="60">
      <c r="A60" s="3">
        <v>10059.0</v>
      </c>
      <c r="B60" s="4" t="s">
        <v>8</v>
      </c>
      <c r="C60" s="4" t="s">
        <v>9</v>
      </c>
      <c r="D60" s="4" t="s">
        <v>96</v>
      </c>
      <c r="E60" s="11" t="s">
        <v>97</v>
      </c>
      <c r="F60" s="12" t="s">
        <v>98</v>
      </c>
      <c r="G60" s="12" t="s">
        <v>261</v>
      </c>
      <c r="H60" s="12" t="s">
        <v>262</v>
      </c>
    </row>
    <row r="61">
      <c r="A61" s="3">
        <v>10060.0</v>
      </c>
      <c r="B61" s="4" t="s">
        <v>8</v>
      </c>
      <c r="C61" s="4" t="s">
        <v>9</v>
      </c>
      <c r="D61" s="4" t="s">
        <v>263</v>
      </c>
      <c r="E61" s="12" t="s">
        <v>264</v>
      </c>
      <c r="F61" s="12" t="s">
        <v>265</v>
      </c>
      <c r="G61" s="12" t="s">
        <v>266</v>
      </c>
      <c r="H61" s="12" t="s">
        <v>267</v>
      </c>
    </row>
    <row r="62">
      <c r="A62" s="3">
        <v>10061.0</v>
      </c>
      <c r="B62" s="4" t="s">
        <v>8</v>
      </c>
      <c r="C62" s="4" t="s">
        <v>9</v>
      </c>
      <c r="D62" s="4" t="s">
        <v>268</v>
      </c>
      <c r="E62" s="12" t="s">
        <v>269</v>
      </c>
      <c r="F62" s="12" t="s">
        <v>270</v>
      </c>
      <c r="G62" s="12" t="s">
        <v>271</v>
      </c>
      <c r="H62" s="12" t="s">
        <v>272</v>
      </c>
    </row>
    <row r="63">
      <c r="A63" s="3">
        <v>10062.0</v>
      </c>
      <c r="B63" s="4" t="s">
        <v>8</v>
      </c>
      <c r="C63" s="4" t="s">
        <v>9</v>
      </c>
      <c r="D63" s="4" t="s">
        <v>273</v>
      </c>
      <c r="E63" s="11" t="s">
        <v>274</v>
      </c>
      <c r="F63" s="11" t="s">
        <v>275</v>
      </c>
      <c r="G63" s="11" t="s">
        <v>276</v>
      </c>
      <c r="H63" s="11" t="s">
        <v>277</v>
      </c>
    </row>
    <row r="64">
      <c r="A64" s="3">
        <v>10063.0</v>
      </c>
      <c r="B64" s="4" t="s">
        <v>8</v>
      </c>
      <c r="C64" s="4" t="s">
        <v>9</v>
      </c>
      <c r="D64" s="4" t="s">
        <v>278</v>
      </c>
      <c r="E64" s="12" t="s">
        <v>279</v>
      </c>
      <c r="F64" s="12" t="s">
        <v>280</v>
      </c>
      <c r="G64" s="12" t="s">
        <v>281</v>
      </c>
      <c r="H64" s="12" t="s">
        <v>282</v>
      </c>
    </row>
    <row r="65">
      <c r="A65" s="3">
        <v>10064.0</v>
      </c>
      <c r="B65" s="4" t="s">
        <v>8</v>
      </c>
      <c r="C65" s="4" t="s">
        <v>9</v>
      </c>
      <c r="D65" s="4" t="s">
        <v>149</v>
      </c>
      <c r="E65" s="11" t="s">
        <v>150</v>
      </c>
      <c r="F65" s="12" t="s">
        <v>151</v>
      </c>
      <c r="G65" s="12" t="s">
        <v>283</v>
      </c>
      <c r="H65" s="12" t="s">
        <v>284</v>
      </c>
    </row>
    <row r="66">
      <c r="A66" s="13">
        <v>10065.0</v>
      </c>
      <c r="B66" s="14" t="s">
        <v>8</v>
      </c>
      <c r="C66" s="14" t="s">
        <v>9</v>
      </c>
      <c r="D66" s="15" t="s">
        <v>285</v>
      </c>
      <c r="E66" s="16" t="s">
        <v>286</v>
      </c>
      <c r="F66" s="17" t="s">
        <v>287</v>
      </c>
      <c r="G66" s="17" t="s">
        <v>288</v>
      </c>
      <c r="H66" s="17" t="s">
        <v>289</v>
      </c>
    </row>
    <row r="67">
      <c r="A67" s="3">
        <v>10066.0</v>
      </c>
      <c r="B67" s="18" t="s">
        <v>8</v>
      </c>
      <c r="C67" s="18" t="s">
        <v>9</v>
      </c>
      <c r="D67" s="4" t="s">
        <v>290</v>
      </c>
      <c r="E67" s="19" t="s">
        <v>291</v>
      </c>
      <c r="F67" s="19" t="s">
        <v>292</v>
      </c>
      <c r="G67" s="20" t="s">
        <v>293</v>
      </c>
      <c r="H67" s="20" t="s">
        <v>294</v>
      </c>
    </row>
    <row r="68">
      <c r="A68" s="10">
        <v>10067.0</v>
      </c>
      <c r="B68" s="8" t="s">
        <v>295</v>
      </c>
      <c r="C68" s="8" t="s">
        <v>296</v>
      </c>
      <c r="D68" s="7" t="s">
        <v>297</v>
      </c>
      <c r="E68" s="8" t="s">
        <v>298</v>
      </c>
      <c r="F68" s="8" t="s">
        <v>299</v>
      </c>
      <c r="G68" s="8" t="s">
        <v>300</v>
      </c>
      <c r="H68" s="8" t="s">
        <v>301</v>
      </c>
    </row>
    <row r="69">
      <c r="A69" s="3">
        <v>10068.0</v>
      </c>
      <c r="B69" s="18" t="s">
        <v>302</v>
      </c>
      <c r="C69" s="18" t="s">
        <v>303</v>
      </c>
      <c r="D69" s="4" t="s">
        <v>304</v>
      </c>
      <c r="E69" s="19" t="s">
        <v>305</v>
      </c>
      <c r="F69" s="20" t="s">
        <v>304</v>
      </c>
      <c r="G69" s="19" t="s">
        <v>306</v>
      </c>
      <c r="H69" s="19" t="s">
        <v>307</v>
      </c>
    </row>
    <row r="70">
      <c r="A70" s="3">
        <v>10069.0</v>
      </c>
      <c r="B70" s="18" t="s">
        <v>308</v>
      </c>
      <c r="C70" s="18" t="s">
        <v>309</v>
      </c>
      <c r="D70" s="4" t="s">
        <v>72</v>
      </c>
      <c r="E70" s="20" t="s">
        <v>73</v>
      </c>
      <c r="F70" s="19" t="s">
        <v>74</v>
      </c>
      <c r="G70" s="19" t="s">
        <v>310</v>
      </c>
      <c r="H70" s="19" t="s">
        <v>311</v>
      </c>
    </row>
    <row r="71">
      <c r="A71" s="3">
        <v>10070.0</v>
      </c>
      <c r="B71" s="18" t="s">
        <v>312</v>
      </c>
      <c r="C71" s="18" t="s">
        <v>313</v>
      </c>
      <c r="D71" s="4" t="s">
        <v>45</v>
      </c>
      <c r="E71" s="19" t="s">
        <v>46</v>
      </c>
      <c r="F71" s="19" t="s">
        <v>47</v>
      </c>
      <c r="G71" s="19" t="s">
        <v>314</v>
      </c>
      <c r="H71" s="19" t="s">
        <v>315</v>
      </c>
    </row>
    <row r="72">
      <c r="A72" s="21">
        <v>10071.0</v>
      </c>
      <c r="B72" s="22" t="s">
        <v>295</v>
      </c>
      <c r="C72" s="22" t="s">
        <v>296</v>
      </c>
      <c r="D72" s="23" t="s">
        <v>316</v>
      </c>
      <c r="E72" s="24" t="s">
        <v>317</v>
      </c>
      <c r="F72" s="24" t="s">
        <v>318</v>
      </c>
      <c r="G72" s="24" t="s">
        <v>319</v>
      </c>
      <c r="H72" s="24" t="s">
        <v>320</v>
      </c>
    </row>
    <row r="73">
      <c r="A73" s="3">
        <v>10072.0</v>
      </c>
      <c r="B73" s="5" t="s">
        <v>8</v>
      </c>
      <c r="C73" s="5" t="s">
        <v>9</v>
      </c>
      <c r="D73" s="4" t="s">
        <v>321</v>
      </c>
      <c r="E73" s="11" t="s">
        <v>322</v>
      </c>
      <c r="F73" s="11" t="s">
        <v>321</v>
      </c>
      <c r="G73" s="11" t="s">
        <v>323</v>
      </c>
      <c r="H73" s="11" t="s">
        <v>324</v>
      </c>
    </row>
    <row r="74">
      <c r="A74" s="3">
        <v>10073.0</v>
      </c>
      <c r="B74" s="5" t="s">
        <v>8</v>
      </c>
      <c r="C74" s="5" t="s">
        <v>9</v>
      </c>
      <c r="D74" s="4" t="s">
        <v>290</v>
      </c>
      <c r="E74" s="11" t="s">
        <v>291</v>
      </c>
      <c r="F74" s="11" t="s">
        <v>292</v>
      </c>
      <c r="G74" s="11" t="s">
        <v>325</v>
      </c>
      <c r="H74" s="11" t="s">
        <v>326</v>
      </c>
    </row>
    <row r="75">
      <c r="A75" s="3">
        <v>10074.0</v>
      </c>
      <c r="B75" s="5" t="s">
        <v>8</v>
      </c>
      <c r="C75" s="5" t="s">
        <v>9</v>
      </c>
      <c r="D75" s="4" t="s">
        <v>327</v>
      </c>
      <c r="E75" s="11" t="s">
        <v>328</v>
      </c>
      <c r="F75" s="11" t="s">
        <v>327</v>
      </c>
      <c r="G75" s="11" t="s">
        <v>329</v>
      </c>
      <c r="H75" s="11" t="s">
        <v>330</v>
      </c>
    </row>
    <row r="76">
      <c r="A76" s="3">
        <v>10075.0</v>
      </c>
      <c r="B76" s="12" t="s">
        <v>8</v>
      </c>
      <c r="C76" s="12" t="s">
        <v>9</v>
      </c>
      <c r="D76" s="4" t="s">
        <v>331</v>
      </c>
      <c r="E76" s="11" t="s">
        <v>332</v>
      </c>
      <c r="F76" s="11" t="s">
        <v>331</v>
      </c>
      <c r="G76" s="11" t="s">
        <v>333</v>
      </c>
      <c r="H76" s="12" t="s">
        <v>334</v>
      </c>
    </row>
    <row r="77">
      <c r="A77" s="3">
        <v>10076.0</v>
      </c>
      <c r="B77" s="12" t="s">
        <v>8</v>
      </c>
      <c r="C77" s="12" t="s">
        <v>9</v>
      </c>
      <c r="D77" s="4" t="s">
        <v>335</v>
      </c>
      <c r="E77" s="8" t="s">
        <v>336</v>
      </c>
      <c r="F77" s="11" t="s">
        <v>337</v>
      </c>
      <c r="G77" s="11" t="s">
        <v>338</v>
      </c>
      <c r="H77" s="12" t="s">
        <v>339</v>
      </c>
    </row>
    <row r="78">
      <c r="A78" s="3">
        <v>10077.0</v>
      </c>
      <c r="B78" s="12" t="s">
        <v>8</v>
      </c>
      <c r="C78" s="12" t="s">
        <v>9</v>
      </c>
      <c r="D78" s="4" t="s">
        <v>52</v>
      </c>
      <c r="E78" s="11" t="s">
        <v>53</v>
      </c>
      <c r="F78" s="12" t="s">
        <v>54</v>
      </c>
      <c r="G78" s="11" t="s">
        <v>340</v>
      </c>
      <c r="H78" s="12" t="s">
        <v>341</v>
      </c>
    </row>
    <row r="79">
      <c r="A79" s="3">
        <v>10078.0</v>
      </c>
      <c r="B79" s="12" t="s">
        <v>8</v>
      </c>
      <c r="C79" s="12" t="s">
        <v>9</v>
      </c>
      <c r="D79" s="4" t="s">
        <v>342</v>
      </c>
      <c r="E79" s="11" t="s">
        <v>343</v>
      </c>
      <c r="F79" s="12" t="s">
        <v>344</v>
      </c>
      <c r="G79" s="11" t="s">
        <v>345</v>
      </c>
      <c r="H79" s="12" t="s">
        <v>346</v>
      </c>
    </row>
    <row r="80">
      <c r="A80" s="3">
        <v>10079.0</v>
      </c>
      <c r="B80" s="12" t="s">
        <v>8</v>
      </c>
      <c r="C80" s="12" t="s">
        <v>9</v>
      </c>
      <c r="D80" s="4" t="s">
        <v>347</v>
      </c>
      <c r="E80" s="11" t="s">
        <v>348</v>
      </c>
      <c r="F80" s="12" t="s">
        <v>349</v>
      </c>
      <c r="G80" s="11" t="s">
        <v>350</v>
      </c>
      <c r="H80" s="12" t="s">
        <v>351</v>
      </c>
    </row>
    <row r="81">
      <c r="A81" s="3">
        <v>10080.0</v>
      </c>
      <c r="B81" s="12" t="s">
        <v>8</v>
      </c>
      <c r="C81" s="12" t="s">
        <v>9</v>
      </c>
      <c r="D81" s="4" t="s">
        <v>352</v>
      </c>
      <c r="E81" s="11" t="s">
        <v>353</v>
      </c>
      <c r="F81" s="12" t="s">
        <v>354</v>
      </c>
      <c r="G81" s="11" t="s">
        <v>355</v>
      </c>
      <c r="H81" s="12" t="s">
        <v>356</v>
      </c>
    </row>
    <row r="82">
      <c r="A82" s="3">
        <v>10081.0</v>
      </c>
      <c r="B82" s="12" t="s">
        <v>50</v>
      </c>
      <c r="C82" s="12" t="s">
        <v>51</v>
      </c>
      <c r="D82" s="4" t="s">
        <v>62</v>
      </c>
      <c r="E82" s="11" t="s">
        <v>63</v>
      </c>
      <c r="F82" s="12" t="s">
        <v>64</v>
      </c>
      <c r="G82" s="11" t="s">
        <v>357</v>
      </c>
      <c r="H82" s="12" t="s">
        <v>358</v>
      </c>
    </row>
    <row r="83">
      <c r="A83" s="3">
        <v>10082.0</v>
      </c>
      <c r="B83" s="12" t="s">
        <v>50</v>
      </c>
      <c r="C83" s="12" t="s">
        <v>51</v>
      </c>
      <c r="D83" s="4" t="s">
        <v>359</v>
      </c>
      <c r="E83" s="11" t="s">
        <v>360</v>
      </c>
      <c r="F83" s="12" t="s">
        <v>361</v>
      </c>
      <c r="G83" s="11" t="s">
        <v>362</v>
      </c>
      <c r="H83" s="12" t="s">
        <v>363</v>
      </c>
    </row>
    <row r="84">
      <c r="A84" s="3">
        <v>10083.0</v>
      </c>
      <c r="B84" s="12" t="s">
        <v>50</v>
      </c>
      <c r="C84" s="12" t="s">
        <v>51</v>
      </c>
      <c r="D84" s="4" t="s">
        <v>149</v>
      </c>
      <c r="E84" s="11" t="s">
        <v>150</v>
      </c>
      <c r="F84" s="11" t="s">
        <v>151</v>
      </c>
      <c r="G84" s="11" t="s">
        <v>364</v>
      </c>
      <c r="H84" s="12" t="s">
        <v>365</v>
      </c>
    </row>
    <row r="85">
      <c r="A85" s="3">
        <v>10084.0</v>
      </c>
      <c r="B85" s="12" t="s">
        <v>50</v>
      </c>
      <c r="C85" s="12" t="s">
        <v>51</v>
      </c>
      <c r="D85" s="4" t="s">
        <v>366</v>
      </c>
      <c r="E85" s="11" t="s">
        <v>367</v>
      </c>
      <c r="F85" s="11" t="s">
        <v>368</v>
      </c>
      <c r="G85" s="11" t="s">
        <v>369</v>
      </c>
      <c r="H85" s="12" t="s">
        <v>370</v>
      </c>
    </row>
    <row r="86">
      <c r="A86" s="3">
        <v>10085.0</v>
      </c>
      <c r="B86" s="12" t="s">
        <v>50</v>
      </c>
      <c r="C86" s="12" t="s">
        <v>51</v>
      </c>
      <c r="D86" s="4" t="s">
        <v>371</v>
      </c>
      <c r="E86" s="11" t="s">
        <v>372</v>
      </c>
      <c r="F86" s="11" t="s">
        <v>373</v>
      </c>
      <c r="G86" s="11" t="s">
        <v>374</v>
      </c>
      <c r="H86" s="12" t="s">
        <v>375</v>
      </c>
    </row>
    <row r="87">
      <c r="A87" s="3">
        <v>10086.0</v>
      </c>
      <c r="B87" s="12" t="s">
        <v>50</v>
      </c>
      <c r="C87" s="12" t="s">
        <v>51</v>
      </c>
      <c r="D87" s="4" t="s">
        <v>376</v>
      </c>
      <c r="E87" s="11" t="s">
        <v>377</v>
      </c>
      <c r="F87" s="11" t="s">
        <v>378</v>
      </c>
      <c r="G87" s="11" t="s">
        <v>379</v>
      </c>
      <c r="H87" s="12" t="s">
        <v>380</v>
      </c>
    </row>
    <row r="88">
      <c r="A88" s="3">
        <v>10087.0</v>
      </c>
      <c r="B88" s="12" t="s">
        <v>50</v>
      </c>
      <c r="C88" s="12" t="s">
        <v>51</v>
      </c>
      <c r="D88" s="4" t="s">
        <v>381</v>
      </c>
      <c r="E88" s="11" t="s">
        <v>382</v>
      </c>
      <c r="F88" s="11" t="s">
        <v>383</v>
      </c>
      <c r="G88" s="11" t="s">
        <v>384</v>
      </c>
      <c r="H88" s="12" t="s">
        <v>385</v>
      </c>
    </row>
    <row r="89">
      <c r="A89" s="3">
        <v>10088.0</v>
      </c>
      <c r="B89" s="12" t="s">
        <v>50</v>
      </c>
      <c r="C89" s="12" t="s">
        <v>51</v>
      </c>
      <c r="D89" s="4" t="s">
        <v>10</v>
      </c>
      <c r="E89" s="11" t="s">
        <v>11</v>
      </c>
      <c r="F89" s="11" t="s">
        <v>12</v>
      </c>
      <c r="G89" s="11" t="s">
        <v>386</v>
      </c>
      <c r="H89" s="12" t="s">
        <v>387</v>
      </c>
    </row>
    <row r="90">
      <c r="A90" s="10">
        <v>10089.0</v>
      </c>
      <c r="B90" s="8" t="s">
        <v>308</v>
      </c>
      <c r="C90" s="8" t="s">
        <v>309</v>
      </c>
      <c r="D90" s="7" t="s">
        <v>388</v>
      </c>
      <c r="E90" s="8" t="s">
        <v>389</v>
      </c>
      <c r="F90" s="8" t="s">
        <v>390</v>
      </c>
      <c r="G90" s="8" t="s">
        <v>391</v>
      </c>
      <c r="H90" s="8" t="s">
        <v>392</v>
      </c>
    </row>
    <row r="91">
      <c r="A91" s="3">
        <v>10090.0</v>
      </c>
      <c r="B91" s="12" t="s">
        <v>302</v>
      </c>
      <c r="C91" s="12" t="s">
        <v>303</v>
      </c>
      <c r="D91" s="4" t="s">
        <v>25</v>
      </c>
      <c r="E91" s="11" t="s">
        <v>26</v>
      </c>
      <c r="F91" s="11" t="s">
        <v>27</v>
      </c>
      <c r="G91" s="11" t="s">
        <v>393</v>
      </c>
      <c r="H91" s="12" t="s">
        <v>394</v>
      </c>
    </row>
    <row r="92">
      <c r="A92" s="3">
        <v>10091.0</v>
      </c>
      <c r="B92" s="12" t="s">
        <v>302</v>
      </c>
      <c r="C92" s="12" t="s">
        <v>303</v>
      </c>
      <c r="D92" s="4" t="s">
        <v>395</v>
      </c>
      <c r="E92" s="11" t="s">
        <v>396</v>
      </c>
      <c r="F92" s="11" t="s">
        <v>395</v>
      </c>
      <c r="G92" s="11" t="s">
        <v>397</v>
      </c>
      <c r="H92" s="12" t="s">
        <v>398</v>
      </c>
    </row>
    <row r="93">
      <c r="A93" s="3">
        <v>10092.0</v>
      </c>
      <c r="B93" s="12" t="s">
        <v>302</v>
      </c>
      <c r="C93" s="12" t="s">
        <v>303</v>
      </c>
      <c r="D93" s="4" t="s">
        <v>399</v>
      </c>
      <c r="E93" s="11" t="s">
        <v>400</v>
      </c>
      <c r="F93" s="11" t="s">
        <v>399</v>
      </c>
      <c r="G93" s="11" t="s">
        <v>401</v>
      </c>
      <c r="H93" s="12" t="s">
        <v>402</v>
      </c>
    </row>
    <row r="94">
      <c r="A94" s="3">
        <v>10093.0</v>
      </c>
      <c r="B94" s="12" t="s">
        <v>302</v>
      </c>
      <c r="C94" s="12" t="s">
        <v>303</v>
      </c>
      <c r="D94" s="4" t="s">
        <v>403</v>
      </c>
      <c r="E94" s="11" t="s">
        <v>404</v>
      </c>
      <c r="F94" s="11" t="s">
        <v>405</v>
      </c>
      <c r="G94" s="11" t="s">
        <v>406</v>
      </c>
      <c r="H94" s="12" t="s">
        <v>407</v>
      </c>
    </row>
    <row r="95">
      <c r="A95" s="3">
        <v>10094.0</v>
      </c>
      <c r="B95" s="12" t="s">
        <v>302</v>
      </c>
      <c r="C95" s="12" t="s">
        <v>303</v>
      </c>
      <c r="D95" s="4" t="s">
        <v>321</v>
      </c>
      <c r="E95" s="11" t="s">
        <v>322</v>
      </c>
      <c r="F95" s="11" t="s">
        <v>321</v>
      </c>
      <c r="G95" s="11" t="s">
        <v>408</v>
      </c>
      <c r="H95" s="12" t="s">
        <v>409</v>
      </c>
    </row>
    <row r="96">
      <c r="A96" s="3">
        <v>10095.0</v>
      </c>
      <c r="B96" s="12" t="s">
        <v>302</v>
      </c>
      <c r="C96" s="12" t="s">
        <v>303</v>
      </c>
      <c r="D96" s="4" t="s">
        <v>410</v>
      </c>
      <c r="E96" s="11" t="s">
        <v>411</v>
      </c>
      <c r="F96" s="11" t="s">
        <v>410</v>
      </c>
      <c r="G96" s="11" t="s">
        <v>412</v>
      </c>
      <c r="H96" s="12" t="s">
        <v>413</v>
      </c>
    </row>
    <row r="97">
      <c r="A97" s="3">
        <v>10096.0</v>
      </c>
      <c r="B97" s="12" t="s">
        <v>302</v>
      </c>
      <c r="C97" s="12" t="s">
        <v>303</v>
      </c>
      <c r="D97" s="4" t="s">
        <v>45</v>
      </c>
      <c r="E97" s="11" t="s">
        <v>46</v>
      </c>
      <c r="F97" s="11" t="s">
        <v>47</v>
      </c>
      <c r="G97" s="11" t="s">
        <v>414</v>
      </c>
      <c r="H97" s="12" t="s">
        <v>415</v>
      </c>
    </row>
    <row r="98">
      <c r="A98" s="3">
        <v>10097.0</v>
      </c>
      <c r="B98" s="12" t="s">
        <v>308</v>
      </c>
      <c r="C98" s="12" t="s">
        <v>309</v>
      </c>
      <c r="D98" s="4" t="s">
        <v>416</v>
      </c>
      <c r="E98" s="11" t="s">
        <v>417</v>
      </c>
      <c r="F98" s="11" t="s">
        <v>418</v>
      </c>
      <c r="G98" s="11" t="s">
        <v>419</v>
      </c>
      <c r="H98" s="12" t="s">
        <v>420</v>
      </c>
    </row>
    <row r="99">
      <c r="A99" s="3">
        <v>10098.0</v>
      </c>
      <c r="B99" s="12" t="s">
        <v>308</v>
      </c>
      <c r="C99" s="12" t="s">
        <v>309</v>
      </c>
      <c r="D99" s="4" t="s">
        <v>268</v>
      </c>
      <c r="E99" s="11" t="s">
        <v>269</v>
      </c>
      <c r="F99" s="11" t="s">
        <v>270</v>
      </c>
      <c r="G99" s="11" t="s">
        <v>421</v>
      </c>
      <c r="H99" s="12" t="s">
        <v>422</v>
      </c>
    </row>
    <row r="100">
      <c r="A100" s="3">
        <v>10099.0</v>
      </c>
      <c r="B100" s="12" t="s">
        <v>308</v>
      </c>
      <c r="C100" s="12" t="s">
        <v>309</v>
      </c>
      <c r="D100" s="4" t="s">
        <v>423</v>
      </c>
      <c r="E100" s="11" t="s">
        <v>424</v>
      </c>
      <c r="F100" s="11" t="s">
        <v>425</v>
      </c>
      <c r="G100" s="11" t="s">
        <v>426</v>
      </c>
      <c r="H100" s="12" t="s">
        <v>427</v>
      </c>
    </row>
    <row r="101">
      <c r="A101" s="3">
        <v>10100.0</v>
      </c>
      <c r="B101" s="12" t="s">
        <v>308</v>
      </c>
      <c r="C101" s="12" t="s">
        <v>309</v>
      </c>
      <c r="D101" s="4" t="s">
        <v>403</v>
      </c>
      <c r="E101" s="11" t="s">
        <v>404</v>
      </c>
      <c r="F101" s="11" t="s">
        <v>405</v>
      </c>
      <c r="G101" s="11" t="s">
        <v>428</v>
      </c>
      <c r="H101" s="12" t="s">
        <v>429</v>
      </c>
    </row>
    <row r="102">
      <c r="A102" s="3">
        <v>10101.0</v>
      </c>
      <c r="B102" s="12" t="s">
        <v>308</v>
      </c>
      <c r="C102" s="12" t="s">
        <v>309</v>
      </c>
      <c r="D102" s="4" t="s">
        <v>430</v>
      </c>
      <c r="E102" s="11" t="s">
        <v>431</v>
      </c>
      <c r="F102" s="11" t="s">
        <v>432</v>
      </c>
      <c r="G102" s="11" t="s">
        <v>433</v>
      </c>
      <c r="H102" s="12" t="s">
        <v>434</v>
      </c>
    </row>
    <row r="103">
      <c r="A103" s="3">
        <v>10102.0</v>
      </c>
      <c r="B103" s="12" t="s">
        <v>308</v>
      </c>
      <c r="C103" s="12" t="s">
        <v>309</v>
      </c>
      <c r="D103" s="4" t="s">
        <v>96</v>
      </c>
      <c r="E103" s="11" t="s">
        <v>97</v>
      </c>
      <c r="F103" s="11" t="s">
        <v>98</v>
      </c>
      <c r="G103" s="11" t="s">
        <v>435</v>
      </c>
      <c r="H103" s="12" t="s">
        <v>436</v>
      </c>
    </row>
    <row r="104">
      <c r="A104" s="3">
        <v>10103.0</v>
      </c>
      <c r="B104" s="12" t="s">
        <v>308</v>
      </c>
      <c r="C104" s="12" t="s">
        <v>309</v>
      </c>
      <c r="D104" s="4" t="s">
        <v>437</v>
      </c>
      <c r="E104" s="11" t="s">
        <v>438</v>
      </c>
      <c r="F104" s="11" t="s">
        <v>439</v>
      </c>
      <c r="G104" s="11" t="s">
        <v>440</v>
      </c>
      <c r="H104" s="12" t="s">
        <v>441</v>
      </c>
    </row>
    <row r="105">
      <c r="A105" s="3">
        <v>10104.0</v>
      </c>
      <c r="B105" s="12" t="s">
        <v>308</v>
      </c>
      <c r="C105" s="12" t="s">
        <v>309</v>
      </c>
      <c r="D105" s="4" t="s">
        <v>20</v>
      </c>
      <c r="E105" s="11" t="s">
        <v>21</v>
      </c>
      <c r="F105" s="11" t="s">
        <v>22</v>
      </c>
      <c r="G105" s="11" t="s">
        <v>442</v>
      </c>
      <c r="H105" s="12" t="s">
        <v>443</v>
      </c>
    </row>
    <row r="106">
      <c r="A106" s="3">
        <v>10105.0</v>
      </c>
      <c r="B106" s="12" t="s">
        <v>312</v>
      </c>
      <c r="C106" s="12" t="s">
        <v>313</v>
      </c>
      <c r="D106" s="4" t="s">
        <v>45</v>
      </c>
      <c r="E106" s="11" t="s">
        <v>46</v>
      </c>
      <c r="F106" s="11" t="s">
        <v>47</v>
      </c>
      <c r="G106" s="11" t="s">
        <v>444</v>
      </c>
      <c r="H106" s="12" t="s">
        <v>445</v>
      </c>
    </row>
    <row r="107">
      <c r="A107" s="3">
        <v>10106.0</v>
      </c>
      <c r="B107" s="12" t="s">
        <v>312</v>
      </c>
      <c r="C107" s="12" t="s">
        <v>313</v>
      </c>
      <c r="D107" s="4" t="s">
        <v>376</v>
      </c>
      <c r="E107" s="11" t="s">
        <v>377</v>
      </c>
      <c r="F107" s="11" t="s">
        <v>378</v>
      </c>
      <c r="G107" s="11" t="s">
        <v>446</v>
      </c>
      <c r="H107" s="12" t="s">
        <v>447</v>
      </c>
    </row>
    <row r="108">
      <c r="A108" s="3">
        <v>10107.0</v>
      </c>
      <c r="B108" s="12" t="s">
        <v>312</v>
      </c>
      <c r="C108" s="12" t="s">
        <v>313</v>
      </c>
      <c r="D108" s="4" t="s">
        <v>108</v>
      </c>
      <c r="E108" s="11" t="s">
        <v>109</v>
      </c>
      <c r="F108" s="11" t="s">
        <v>110</v>
      </c>
      <c r="G108" s="11" t="s">
        <v>448</v>
      </c>
      <c r="H108" s="12" t="s">
        <v>449</v>
      </c>
    </row>
    <row r="109">
      <c r="A109" s="3">
        <v>10108.0</v>
      </c>
      <c r="B109" s="12" t="s">
        <v>312</v>
      </c>
      <c r="C109" s="12" t="s">
        <v>313</v>
      </c>
      <c r="D109" s="4" t="s">
        <v>96</v>
      </c>
      <c r="E109" s="11" t="s">
        <v>97</v>
      </c>
      <c r="F109" s="11" t="s">
        <v>98</v>
      </c>
      <c r="G109" s="11" t="s">
        <v>450</v>
      </c>
      <c r="H109" s="12" t="s">
        <v>451</v>
      </c>
    </row>
    <row r="110">
      <c r="A110" s="3">
        <v>10109.0</v>
      </c>
      <c r="B110" s="12" t="s">
        <v>312</v>
      </c>
      <c r="C110" s="12" t="s">
        <v>313</v>
      </c>
      <c r="D110" s="4" t="s">
        <v>452</v>
      </c>
      <c r="E110" s="11" t="s">
        <v>453</v>
      </c>
      <c r="F110" s="11" t="s">
        <v>454</v>
      </c>
      <c r="G110" s="11" t="s">
        <v>455</v>
      </c>
      <c r="H110" s="12" t="s">
        <v>456</v>
      </c>
    </row>
    <row r="111">
      <c r="A111" s="3">
        <v>10110.0</v>
      </c>
      <c r="B111" s="12" t="s">
        <v>312</v>
      </c>
      <c r="C111" s="12" t="s">
        <v>313</v>
      </c>
      <c r="D111" s="4" t="s">
        <v>20</v>
      </c>
      <c r="E111" s="11" t="s">
        <v>21</v>
      </c>
      <c r="F111" s="11" t="s">
        <v>22</v>
      </c>
      <c r="G111" s="11" t="s">
        <v>457</v>
      </c>
      <c r="H111" s="12" t="s">
        <v>458</v>
      </c>
    </row>
    <row r="112">
      <c r="A112" s="3">
        <v>10111.0</v>
      </c>
      <c r="B112" s="12" t="s">
        <v>312</v>
      </c>
      <c r="C112" s="12" t="s">
        <v>313</v>
      </c>
      <c r="D112" s="4" t="s">
        <v>72</v>
      </c>
      <c r="E112" s="11" t="s">
        <v>73</v>
      </c>
      <c r="F112" s="11" t="s">
        <v>74</v>
      </c>
      <c r="G112" s="11" t="s">
        <v>459</v>
      </c>
      <c r="H112" s="12" t="s">
        <v>460</v>
      </c>
    </row>
    <row r="113">
      <c r="A113" s="3">
        <v>10112.0</v>
      </c>
      <c r="B113" s="12" t="s">
        <v>312</v>
      </c>
      <c r="C113" s="12" t="s">
        <v>313</v>
      </c>
      <c r="D113" s="4" t="s">
        <v>376</v>
      </c>
      <c r="E113" s="11" t="s">
        <v>377</v>
      </c>
      <c r="F113" s="11" t="s">
        <v>378</v>
      </c>
      <c r="G113" s="11" t="s">
        <v>461</v>
      </c>
      <c r="H113" s="12" t="s">
        <v>462</v>
      </c>
    </row>
    <row r="114">
      <c r="A114" s="3">
        <v>10113.0</v>
      </c>
      <c r="B114" s="12" t="s">
        <v>295</v>
      </c>
      <c r="C114" s="12" t="s">
        <v>296</v>
      </c>
      <c r="D114" s="4" t="s">
        <v>304</v>
      </c>
      <c r="E114" s="11" t="s">
        <v>305</v>
      </c>
      <c r="F114" s="11" t="s">
        <v>304</v>
      </c>
      <c r="G114" s="11" t="s">
        <v>463</v>
      </c>
      <c r="H114" s="12" t="s">
        <v>464</v>
      </c>
    </row>
    <row r="115">
      <c r="A115" s="3">
        <v>10114.0</v>
      </c>
      <c r="B115" s="12" t="s">
        <v>295</v>
      </c>
      <c r="C115" s="12" t="s">
        <v>296</v>
      </c>
      <c r="D115" s="4" t="s">
        <v>465</v>
      </c>
      <c r="E115" s="11" t="s">
        <v>466</v>
      </c>
      <c r="F115" s="11" t="s">
        <v>467</v>
      </c>
      <c r="G115" s="11" t="s">
        <v>468</v>
      </c>
      <c r="H115" s="12" t="s">
        <v>469</v>
      </c>
    </row>
    <row r="116">
      <c r="A116" s="3">
        <v>10115.0</v>
      </c>
      <c r="B116" s="12" t="s">
        <v>295</v>
      </c>
      <c r="C116" s="12" t="s">
        <v>296</v>
      </c>
      <c r="D116" s="4" t="s">
        <v>366</v>
      </c>
      <c r="E116" s="11" t="s">
        <v>367</v>
      </c>
      <c r="F116" s="11" t="s">
        <v>368</v>
      </c>
      <c r="G116" s="11" t="s">
        <v>470</v>
      </c>
      <c r="H116" s="12" t="s">
        <v>471</v>
      </c>
    </row>
    <row r="117">
      <c r="A117" s="3">
        <v>10116.0</v>
      </c>
      <c r="B117" s="12" t="s">
        <v>295</v>
      </c>
      <c r="C117" s="12" t="s">
        <v>296</v>
      </c>
      <c r="D117" s="4" t="s">
        <v>178</v>
      </c>
      <c r="E117" s="11" t="s">
        <v>179</v>
      </c>
      <c r="F117" s="11" t="s">
        <v>178</v>
      </c>
      <c r="G117" s="11" t="s">
        <v>472</v>
      </c>
      <c r="H117" s="12" t="s">
        <v>473</v>
      </c>
    </row>
    <row r="118">
      <c r="A118" s="3">
        <v>10117.0</v>
      </c>
      <c r="B118" s="12" t="s">
        <v>295</v>
      </c>
      <c r="C118" s="12" t="s">
        <v>296</v>
      </c>
      <c r="D118" s="4" t="s">
        <v>321</v>
      </c>
      <c r="E118" s="11" t="s">
        <v>322</v>
      </c>
      <c r="F118" s="11" t="s">
        <v>321</v>
      </c>
      <c r="G118" s="11" t="s">
        <v>474</v>
      </c>
      <c r="H118" s="12" t="s">
        <v>475</v>
      </c>
    </row>
    <row r="119">
      <c r="A119" s="3">
        <v>10118.0</v>
      </c>
      <c r="B119" s="12" t="s">
        <v>295</v>
      </c>
      <c r="C119" s="12" t="s">
        <v>296</v>
      </c>
      <c r="D119" s="4" t="s">
        <v>108</v>
      </c>
      <c r="E119" s="11" t="s">
        <v>109</v>
      </c>
      <c r="F119" s="11" t="s">
        <v>110</v>
      </c>
      <c r="G119" s="11" t="s">
        <v>476</v>
      </c>
      <c r="H119" s="12" t="s">
        <v>477</v>
      </c>
    </row>
    <row r="120">
      <c r="A120" s="3">
        <v>10119.0</v>
      </c>
      <c r="B120" s="12" t="s">
        <v>295</v>
      </c>
      <c r="C120" s="12" t="s">
        <v>296</v>
      </c>
      <c r="D120" s="4" t="s">
        <v>478</v>
      </c>
      <c r="E120" s="11" t="s">
        <v>479</v>
      </c>
      <c r="F120" s="11" t="s">
        <v>478</v>
      </c>
      <c r="G120" s="11" t="s">
        <v>480</v>
      </c>
      <c r="H120" s="12" t="s">
        <v>481</v>
      </c>
    </row>
    <row r="121">
      <c r="A121" s="13">
        <v>10120.0</v>
      </c>
      <c r="B121" s="17" t="s">
        <v>295</v>
      </c>
      <c r="C121" s="17" t="s">
        <v>296</v>
      </c>
      <c r="D121" s="14" t="s">
        <v>15</v>
      </c>
      <c r="E121" s="25" t="s">
        <v>16</v>
      </c>
      <c r="F121" s="25" t="s">
        <v>17</v>
      </c>
      <c r="G121" s="25" t="s">
        <v>482</v>
      </c>
      <c r="H121" s="17" t="s">
        <v>483</v>
      </c>
    </row>
    <row r="122">
      <c r="A122" s="3">
        <v>10121.0</v>
      </c>
      <c r="B122" s="8" t="s">
        <v>8</v>
      </c>
      <c r="C122" s="8" t="s">
        <v>9</v>
      </c>
      <c r="D122" s="26" t="s">
        <v>484</v>
      </c>
      <c r="E122" s="8" t="s">
        <v>485</v>
      </c>
      <c r="F122" s="8" t="s">
        <v>484</v>
      </c>
      <c r="G122" s="8" t="s">
        <v>486</v>
      </c>
      <c r="H122" s="8" t="s">
        <v>487</v>
      </c>
    </row>
    <row r="123">
      <c r="A123" s="3">
        <v>10122.0</v>
      </c>
      <c r="B123" s="8" t="s">
        <v>8</v>
      </c>
      <c r="C123" s="8" t="s">
        <v>9</v>
      </c>
      <c r="D123" s="26" t="s">
        <v>327</v>
      </c>
      <c r="E123" s="8" t="s">
        <v>328</v>
      </c>
      <c r="F123" s="8" t="s">
        <v>327</v>
      </c>
      <c r="G123" s="8" t="s">
        <v>488</v>
      </c>
      <c r="H123" s="8" t="s">
        <v>489</v>
      </c>
    </row>
    <row r="124">
      <c r="A124" s="3">
        <v>10123.0</v>
      </c>
      <c r="B124" s="8" t="s">
        <v>8</v>
      </c>
      <c r="C124" s="8" t="s">
        <v>9</v>
      </c>
      <c r="D124" s="26" t="s">
        <v>290</v>
      </c>
      <c r="E124" s="8" t="s">
        <v>291</v>
      </c>
      <c r="F124" s="8" t="s">
        <v>292</v>
      </c>
      <c r="G124" s="8" t="s">
        <v>490</v>
      </c>
      <c r="H124" s="8" t="s">
        <v>491</v>
      </c>
    </row>
    <row r="125">
      <c r="A125" s="3">
        <v>10124.0</v>
      </c>
      <c r="B125" s="8" t="s">
        <v>8</v>
      </c>
      <c r="C125" s="8" t="s">
        <v>9</v>
      </c>
      <c r="D125" s="26" t="s">
        <v>52</v>
      </c>
      <c r="E125" s="8" t="s">
        <v>53</v>
      </c>
      <c r="F125" s="8" t="s">
        <v>54</v>
      </c>
      <c r="G125" s="8" t="s">
        <v>492</v>
      </c>
      <c r="H125" s="8" t="s">
        <v>493</v>
      </c>
    </row>
    <row r="126">
      <c r="A126" s="3">
        <v>10125.0</v>
      </c>
      <c r="B126" s="8" t="s">
        <v>8</v>
      </c>
      <c r="C126" s="8" t="s">
        <v>9</v>
      </c>
      <c r="D126" s="26" t="s">
        <v>494</v>
      </c>
      <c r="E126" s="8" t="s">
        <v>495</v>
      </c>
      <c r="F126" s="8" t="s">
        <v>496</v>
      </c>
      <c r="G126" s="8" t="s">
        <v>497</v>
      </c>
      <c r="H126" s="8" t="s">
        <v>498</v>
      </c>
    </row>
    <row r="127">
      <c r="A127" s="3">
        <v>10126.0</v>
      </c>
      <c r="B127" s="8" t="s">
        <v>8</v>
      </c>
      <c r="C127" s="8" t="s">
        <v>9</v>
      </c>
      <c r="D127" s="26" t="s">
        <v>235</v>
      </c>
      <c r="E127" s="8" t="s">
        <v>236</v>
      </c>
      <c r="F127" s="8" t="s">
        <v>237</v>
      </c>
      <c r="G127" s="8" t="s">
        <v>499</v>
      </c>
      <c r="H127" s="8" t="s">
        <v>500</v>
      </c>
    </row>
    <row r="128">
      <c r="A128" s="10">
        <v>10127.0</v>
      </c>
      <c r="B128" s="8" t="s">
        <v>50</v>
      </c>
      <c r="C128" s="8" t="s">
        <v>51</v>
      </c>
      <c r="D128" s="26" t="s">
        <v>501</v>
      </c>
      <c r="E128" s="8" t="s">
        <v>502</v>
      </c>
      <c r="F128" s="8" t="s">
        <v>503</v>
      </c>
      <c r="G128" s="8" t="s">
        <v>504</v>
      </c>
      <c r="H128" s="8" t="s">
        <v>505</v>
      </c>
    </row>
    <row r="129">
      <c r="A129" s="3">
        <v>10128.0</v>
      </c>
      <c r="B129" s="8" t="s">
        <v>8</v>
      </c>
      <c r="C129" s="8" t="s">
        <v>9</v>
      </c>
      <c r="D129" s="26" t="s">
        <v>506</v>
      </c>
      <c r="E129" s="8" t="s">
        <v>507</v>
      </c>
      <c r="F129" s="8" t="s">
        <v>508</v>
      </c>
      <c r="G129" s="8" t="s">
        <v>509</v>
      </c>
      <c r="H129" s="8" t="s">
        <v>510</v>
      </c>
    </row>
    <row r="130">
      <c r="A130" s="3">
        <v>10129.0</v>
      </c>
      <c r="B130" s="8" t="s">
        <v>8</v>
      </c>
      <c r="C130" s="8" t="s">
        <v>9</v>
      </c>
      <c r="D130" s="26" t="s">
        <v>263</v>
      </c>
      <c r="E130" s="8" t="s">
        <v>264</v>
      </c>
      <c r="F130" s="8" t="s">
        <v>265</v>
      </c>
      <c r="G130" s="8" t="s">
        <v>511</v>
      </c>
      <c r="H130" s="8" t="s">
        <v>512</v>
      </c>
    </row>
    <row r="131">
      <c r="A131" s="3">
        <v>10130.0</v>
      </c>
      <c r="B131" s="8" t="s">
        <v>8</v>
      </c>
      <c r="C131" s="8" t="s">
        <v>9</v>
      </c>
      <c r="D131" s="26" t="s">
        <v>513</v>
      </c>
      <c r="E131" s="8" t="s">
        <v>514</v>
      </c>
      <c r="F131" s="8" t="s">
        <v>515</v>
      </c>
      <c r="G131" s="8" t="s">
        <v>516</v>
      </c>
      <c r="H131" s="8" t="s">
        <v>517</v>
      </c>
    </row>
    <row r="132">
      <c r="A132" s="3">
        <v>10131.0</v>
      </c>
      <c r="B132" s="8" t="s">
        <v>8</v>
      </c>
      <c r="C132" s="8" t="s">
        <v>9</v>
      </c>
      <c r="D132" s="26" t="s">
        <v>518</v>
      </c>
      <c r="E132" s="8" t="s">
        <v>519</v>
      </c>
      <c r="F132" s="8" t="s">
        <v>520</v>
      </c>
      <c r="G132" s="8" t="s">
        <v>521</v>
      </c>
      <c r="H132" s="8" t="s">
        <v>522</v>
      </c>
    </row>
    <row r="133">
      <c r="A133" s="3">
        <v>10132.0</v>
      </c>
      <c r="B133" s="8" t="s">
        <v>8</v>
      </c>
      <c r="C133" s="8" t="s">
        <v>9</v>
      </c>
      <c r="D133" s="26" t="s">
        <v>523</v>
      </c>
      <c r="E133" s="8" t="s">
        <v>524</v>
      </c>
      <c r="F133" s="8" t="s">
        <v>525</v>
      </c>
      <c r="G133" s="8" t="s">
        <v>526</v>
      </c>
      <c r="H133" s="8" t="s">
        <v>527</v>
      </c>
    </row>
    <row r="134">
      <c r="A134" s="3">
        <v>10133.0</v>
      </c>
      <c r="B134" s="8" t="s">
        <v>8</v>
      </c>
      <c r="C134" s="8" t="s">
        <v>9</v>
      </c>
      <c r="D134" s="26" t="s">
        <v>528</v>
      </c>
      <c r="E134" s="8" t="s">
        <v>529</v>
      </c>
      <c r="F134" s="8" t="s">
        <v>530</v>
      </c>
      <c r="G134" s="8" t="s">
        <v>531</v>
      </c>
      <c r="H134" s="8" t="s">
        <v>532</v>
      </c>
    </row>
    <row r="135">
      <c r="A135" s="3">
        <v>10134.0</v>
      </c>
      <c r="B135" s="8" t="s">
        <v>8</v>
      </c>
      <c r="C135" s="8" t="s">
        <v>9</v>
      </c>
      <c r="D135" s="26" t="s">
        <v>533</v>
      </c>
      <c r="E135" s="8" t="s">
        <v>534</v>
      </c>
      <c r="F135" s="8" t="s">
        <v>533</v>
      </c>
      <c r="G135" s="8" t="s">
        <v>535</v>
      </c>
      <c r="H135" s="8" t="s">
        <v>536</v>
      </c>
    </row>
    <row r="136">
      <c r="A136" s="3">
        <v>10135.0</v>
      </c>
      <c r="B136" s="8" t="s">
        <v>8</v>
      </c>
      <c r="C136" s="8" t="s">
        <v>9</v>
      </c>
      <c r="D136" s="26" t="s">
        <v>537</v>
      </c>
      <c r="E136" s="8" t="s">
        <v>538</v>
      </c>
      <c r="F136" s="8" t="s">
        <v>539</v>
      </c>
      <c r="G136" s="8" t="s">
        <v>540</v>
      </c>
      <c r="H136" s="8" t="s">
        <v>541</v>
      </c>
    </row>
    <row r="137">
      <c r="A137" s="3">
        <v>10136.0</v>
      </c>
      <c r="B137" s="8" t="s">
        <v>8</v>
      </c>
      <c r="C137" s="8" t="s">
        <v>9</v>
      </c>
      <c r="D137" s="26" t="s">
        <v>542</v>
      </c>
      <c r="E137" s="8" t="s">
        <v>543</v>
      </c>
      <c r="F137" s="8" t="s">
        <v>544</v>
      </c>
      <c r="G137" s="8" t="s">
        <v>545</v>
      </c>
      <c r="H137" s="8" t="s">
        <v>546</v>
      </c>
    </row>
    <row r="138">
      <c r="A138" s="3">
        <v>10137.0</v>
      </c>
      <c r="B138" s="8" t="s">
        <v>8</v>
      </c>
      <c r="C138" s="8" t="s">
        <v>9</v>
      </c>
      <c r="D138" s="26" t="s">
        <v>547</v>
      </c>
      <c r="E138" s="8" t="s">
        <v>548</v>
      </c>
      <c r="F138" s="8" t="s">
        <v>549</v>
      </c>
      <c r="G138" s="8" t="s">
        <v>550</v>
      </c>
      <c r="H138" s="8" t="s">
        <v>551</v>
      </c>
    </row>
    <row r="139">
      <c r="A139" s="3">
        <v>10138.0</v>
      </c>
      <c r="B139" s="8" t="s">
        <v>50</v>
      </c>
      <c r="C139" s="8" t="s">
        <v>51</v>
      </c>
      <c r="D139" s="26" t="s">
        <v>552</v>
      </c>
      <c r="E139" s="8" t="s">
        <v>553</v>
      </c>
      <c r="F139" s="8" t="s">
        <v>554</v>
      </c>
      <c r="G139" s="8" t="s">
        <v>555</v>
      </c>
      <c r="H139" s="8" t="s">
        <v>556</v>
      </c>
    </row>
    <row r="140">
      <c r="A140" s="3">
        <v>10139.0</v>
      </c>
      <c r="B140" s="8" t="s">
        <v>50</v>
      </c>
      <c r="C140" s="8" t="s">
        <v>51</v>
      </c>
      <c r="D140" s="26" t="s">
        <v>347</v>
      </c>
      <c r="E140" s="11" t="s">
        <v>348</v>
      </c>
      <c r="F140" s="12" t="s">
        <v>349</v>
      </c>
      <c r="G140" s="8" t="s">
        <v>557</v>
      </c>
      <c r="H140" s="8" t="s">
        <v>558</v>
      </c>
    </row>
    <row r="141">
      <c r="A141" s="3">
        <v>10140.0</v>
      </c>
      <c r="B141" s="8" t="s">
        <v>50</v>
      </c>
      <c r="C141" s="8" t="s">
        <v>51</v>
      </c>
      <c r="D141" s="26" t="s">
        <v>559</v>
      </c>
      <c r="E141" s="8" t="s">
        <v>560</v>
      </c>
      <c r="F141" s="8" t="s">
        <v>561</v>
      </c>
      <c r="G141" s="8" t="s">
        <v>562</v>
      </c>
      <c r="H141" s="8" t="s">
        <v>563</v>
      </c>
    </row>
    <row r="142">
      <c r="A142" s="3">
        <v>10141.0</v>
      </c>
      <c r="B142" s="8" t="s">
        <v>50</v>
      </c>
      <c r="C142" s="8" t="s">
        <v>51</v>
      </c>
      <c r="D142" s="26" t="s">
        <v>564</v>
      </c>
      <c r="E142" s="8" t="s">
        <v>565</v>
      </c>
      <c r="F142" s="8" t="s">
        <v>566</v>
      </c>
      <c r="G142" s="8" t="s">
        <v>567</v>
      </c>
      <c r="H142" s="8" t="s">
        <v>568</v>
      </c>
    </row>
    <row r="143">
      <c r="A143" s="3">
        <v>10142.0</v>
      </c>
      <c r="B143" s="8" t="s">
        <v>50</v>
      </c>
      <c r="C143" s="8" t="s">
        <v>51</v>
      </c>
      <c r="D143" s="26" t="s">
        <v>569</v>
      </c>
      <c r="E143" s="8" t="s">
        <v>570</v>
      </c>
      <c r="F143" s="8" t="s">
        <v>571</v>
      </c>
      <c r="G143" s="8" t="s">
        <v>572</v>
      </c>
      <c r="H143" s="8" t="s">
        <v>573</v>
      </c>
    </row>
    <row r="144">
      <c r="A144" s="3">
        <v>10143.0</v>
      </c>
      <c r="B144" s="8" t="s">
        <v>50</v>
      </c>
      <c r="C144" s="8" t="s">
        <v>51</v>
      </c>
      <c r="D144" s="26" t="s">
        <v>574</v>
      </c>
      <c r="E144" s="8" t="s">
        <v>575</v>
      </c>
      <c r="F144" s="8" t="s">
        <v>576</v>
      </c>
      <c r="G144" s="8" t="s">
        <v>577</v>
      </c>
      <c r="H144" s="8" t="s">
        <v>578</v>
      </c>
    </row>
    <row r="145">
      <c r="A145" s="3">
        <v>10144.0</v>
      </c>
      <c r="B145" s="8" t="s">
        <v>50</v>
      </c>
      <c r="C145" s="8" t="s">
        <v>51</v>
      </c>
      <c r="D145" s="26" t="s">
        <v>579</v>
      </c>
      <c r="E145" s="8" t="s">
        <v>580</v>
      </c>
      <c r="F145" s="8" t="s">
        <v>581</v>
      </c>
      <c r="G145" s="8" t="s">
        <v>582</v>
      </c>
      <c r="H145" s="8" t="s">
        <v>583</v>
      </c>
    </row>
    <row r="146">
      <c r="A146" s="3">
        <v>10145.0</v>
      </c>
      <c r="B146" s="8" t="s">
        <v>50</v>
      </c>
      <c r="C146" s="8" t="s">
        <v>51</v>
      </c>
      <c r="D146" s="26" t="s">
        <v>331</v>
      </c>
      <c r="E146" s="8" t="s">
        <v>332</v>
      </c>
      <c r="F146" s="8" t="s">
        <v>331</v>
      </c>
      <c r="G146" s="8" t="s">
        <v>584</v>
      </c>
      <c r="H146" s="8" t="s">
        <v>585</v>
      </c>
    </row>
    <row r="147">
      <c r="A147" s="3">
        <v>10146.0</v>
      </c>
      <c r="B147" s="8" t="s">
        <v>50</v>
      </c>
      <c r="C147" s="8" t="s">
        <v>51</v>
      </c>
      <c r="D147" s="26" t="s">
        <v>586</v>
      </c>
      <c r="E147" s="8" t="s">
        <v>587</v>
      </c>
      <c r="F147" s="8" t="s">
        <v>586</v>
      </c>
      <c r="G147" s="8" t="s">
        <v>588</v>
      </c>
      <c r="H147" s="8" t="s">
        <v>589</v>
      </c>
    </row>
    <row r="148">
      <c r="A148" s="3">
        <v>10147.0</v>
      </c>
      <c r="B148" s="8" t="s">
        <v>50</v>
      </c>
      <c r="C148" s="8" t="s">
        <v>51</v>
      </c>
      <c r="D148" s="26" t="s">
        <v>342</v>
      </c>
      <c r="E148" s="8" t="s">
        <v>343</v>
      </c>
      <c r="F148" s="8" t="s">
        <v>344</v>
      </c>
      <c r="G148" s="8" t="s">
        <v>590</v>
      </c>
      <c r="H148" s="8" t="s">
        <v>591</v>
      </c>
    </row>
    <row r="149">
      <c r="A149" s="3">
        <v>10148.0</v>
      </c>
      <c r="B149" s="8" t="s">
        <v>50</v>
      </c>
      <c r="C149" s="8" t="s">
        <v>51</v>
      </c>
      <c r="D149" s="26" t="s">
        <v>592</v>
      </c>
      <c r="E149" s="8" t="s">
        <v>593</v>
      </c>
      <c r="F149" s="8" t="s">
        <v>594</v>
      </c>
      <c r="G149" s="8" t="s">
        <v>595</v>
      </c>
      <c r="H149" s="8" t="s">
        <v>596</v>
      </c>
    </row>
    <row r="150">
      <c r="A150" s="3">
        <v>10149.0</v>
      </c>
      <c r="B150" s="8" t="s">
        <v>50</v>
      </c>
      <c r="C150" s="8" t="s">
        <v>51</v>
      </c>
      <c r="D150" s="26" t="s">
        <v>597</v>
      </c>
      <c r="E150" s="8" t="s">
        <v>598</v>
      </c>
      <c r="F150" s="8" t="s">
        <v>599</v>
      </c>
      <c r="G150" s="8" t="s">
        <v>600</v>
      </c>
      <c r="H150" s="8" t="s">
        <v>601</v>
      </c>
    </row>
    <row r="151">
      <c r="A151" s="3">
        <v>10150.0</v>
      </c>
      <c r="B151" s="8" t="s">
        <v>50</v>
      </c>
      <c r="C151" s="8" t="s">
        <v>51</v>
      </c>
      <c r="D151" s="26" t="s">
        <v>602</v>
      </c>
      <c r="E151" s="8" t="s">
        <v>603</v>
      </c>
      <c r="F151" s="8" t="s">
        <v>604</v>
      </c>
      <c r="G151" s="8" t="s">
        <v>605</v>
      </c>
      <c r="H151" s="8" t="s">
        <v>606</v>
      </c>
    </row>
    <row r="152">
      <c r="A152" s="3">
        <v>10151.0</v>
      </c>
      <c r="B152" s="8" t="s">
        <v>50</v>
      </c>
      <c r="C152" s="8" t="s">
        <v>51</v>
      </c>
      <c r="D152" s="26" t="s">
        <v>607</v>
      </c>
      <c r="E152" s="8" t="s">
        <v>608</v>
      </c>
      <c r="F152" s="8" t="s">
        <v>609</v>
      </c>
      <c r="G152" s="8" t="s">
        <v>610</v>
      </c>
      <c r="H152" s="8" t="s">
        <v>611</v>
      </c>
    </row>
    <row r="153">
      <c r="A153" s="3">
        <v>10152.0</v>
      </c>
      <c r="B153" s="8" t="s">
        <v>50</v>
      </c>
      <c r="C153" s="8" t="s">
        <v>51</v>
      </c>
      <c r="D153" s="26" t="s">
        <v>359</v>
      </c>
      <c r="E153" s="8" t="s">
        <v>360</v>
      </c>
      <c r="F153" s="8" t="s">
        <v>361</v>
      </c>
      <c r="G153" s="8" t="s">
        <v>612</v>
      </c>
      <c r="H153" s="8" t="s">
        <v>613</v>
      </c>
    </row>
    <row r="154">
      <c r="A154" s="3">
        <v>10153.0</v>
      </c>
      <c r="B154" s="8" t="s">
        <v>50</v>
      </c>
      <c r="C154" s="8" t="s">
        <v>51</v>
      </c>
      <c r="D154" s="26" t="s">
        <v>513</v>
      </c>
      <c r="E154" s="8" t="s">
        <v>514</v>
      </c>
      <c r="F154" s="8" t="s">
        <v>515</v>
      </c>
      <c r="G154" s="8" t="s">
        <v>614</v>
      </c>
      <c r="H154" s="8" t="s">
        <v>615</v>
      </c>
    </row>
    <row r="155">
      <c r="A155" s="3">
        <v>10154.0</v>
      </c>
      <c r="B155" s="8" t="s">
        <v>50</v>
      </c>
      <c r="C155" s="8" t="s">
        <v>51</v>
      </c>
      <c r="D155" s="26" t="s">
        <v>616</v>
      </c>
      <c r="E155" s="8" t="s">
        <v>617</v>
      </c>
      <c r="F155" s="8" t="s">
        <v>618</v>
      </c>
      <c r="G155" s="8" t="s">
        <v>619</v>
      </c>
      <c r="H155" s="8" t="s">
        <v>620</v>
      </c>
    </row>
    <row r="156">
      <c r="A156" s="3">
        <v>10155.0</v>
      </c>
      <c r="B156" s="8" t="s">
        <v>302</v>
      </c>
      <c r="C156" s="8" t="s">
        <v>303</v>
      </c>
      <c r="D156" s="26" t="s">
        <v>621</v>
      </c>
      <c r="E156" s="8" t="s">
        <v>622</v>
      </c>
      <c r="F156" s="8" t="s">
        <v>623</v>
      </c>
      <c r="G156" s="8" t="s">
        <v>624</v>
      </c>
      <c r="H156" s="8" t="s">
        <v>625</v>
      </c>
    </row>
    <row r="157">
      <c r="A157" s="3">
        <v>10156.0</v>
      </c>
      <c r="B157" s="8" t="s">
        <v>302</v>
      </c>
      <c r="C157" s="8" t="s">
        <v>303</v>
      </c>
      <c r="D157" s="26" t="s">
        <v>304</v>
      </c>
      <c r="E157" s="8" t="s">
        <v>305</v>
      </c>
      <c r="F157" s="8" t="s">
        <v>304</v>
      </c>
      <c r="G157" s="8" t="s">
        <v>626</v>
      </c>
      <c r="H157" s="8" t="s">
        <v>627</v>
      </c>
    </row>
    <row r="158">
      <c r="A158" s="3">
        <v>10157.0</v>
      </c>
      <c r="B158" s="8" t="s">
        <v>302</v>
      </c>
      <c r="C158" s="8" t="s">
        <v>303</v>
      </c>
      <c r="D158" s="26" t="s">
        <v>628</v>
      </c>
      <c r="E158" s="8" t="s">
        <v>629</v>
      </c>
      <c r="F158" s="8" t="s">
        <v>630</v>
      </c>
      <c r="G158" s="8" t="s">
        <v>631</v>
      </c>
      <c r="H158" s="8" t="s">
        <v>632</v>
      </c>
    </row>
    <row r="159">
      <c r="A159" s="3">
        <v>10158.0</v>
      </c>
      <c r="B159" s="8" t="s">
        <v>302</v>
      </c>
      <c r="C159" s="8" t="s">
        <v>303</v>
      </c>
      <c r="D159" s="26" t="s">
        <v>513</v>
      </c>
      <c r="E159" s="8" t="s">
        <v>514</v>
      </c>
      <c r="F159" s="8" t="s">
        <v>515</v>
      </c>
      <c r="G159" s="8" t="s">
        <v>633</v>
      </c>
      <c r="H159" s="8" t="s">
        <v>634</v>
      </c>
    </row>
    <row r="160">
      <c r="A160" s="3">
        <v>10159.0</v>
      </c>
      <c r="B160" s="8" t="s">
        <v>302</v>
      </c>
      <c r="C160" s="8" t="s">
        <v>303</v>
      </c>
      <c r="D160" s="26" t="s">
        <v>25</v>
      </c>
      <c r="E160" s="8" t="s">
        <v>26</v>
      </c>
      <c r="F160" s="8" t="s">
        <v>27</v>
      </c>
      <c r="G160" s="8" t="s">
        <v>635</v>
      </c>
      <c r="H160" s="8" t="s">
        <v>636</v>
      </c>
    </row>
    <row r="161">
      <c r="A161" s="3">
        <v>10160.0</v>
      </c>
      <c r="B161" s="8" t="s">
        <v>302</v>
      </c>
      <c r="C161" s="8" t="s">
        <v>303</v>
      </c>
      <c r="D161" s="26" t="s">
        <v>547</v>
      </c>
      <c r="E161" s="8" t="s">
        <v>548</v>
      </c>
      <c r="F161" s="8" t="s">
        <v>549</v>
      </c>
      <c r="G161" s="8" t="s">
        <v>637</v>
      </c>
      <c r="H161" s="8" t="s">
        <v>638</v>
      </c>
    </row>
    <row r="162">
      <c r="A162" s="3">
        <v>10161.0</v>
      </c>
      <c r="B162" s="8" t="s">
        <v>302</v>
      </c>
      <c r="C162" s="8" t="s">
        <v>303</v>
      </c>
      <c r="D162" s="26" t="s">
        <v>639</v>
      </c>
      <c r="E162" s="8" t="s">
        <v>640</v>
      </c>
      <c r="F162" s="8" t="s">
        <v>639</v>
      </c>
      <c r="G162" s="8" t="s">
        <v>641</v>
      </c>
      <c r="H162" s="8" t="s">
        <v>642</v>
      </c>
    </row>
    <row r="163">
      <c r="A163" s="3">
        <v>10162.0</v>
      </c>
      <c r="B163" s="8" t="s">
        <v>302</v>
      </c>
      <c r="C163" s="8" t="s">
        <v>303</v>
      </c>
      <c r="D163" s="26" t="s">
        <v>643</v>
      </c>
      <c r="E163" s="8" t="s">
        <v>644</v>
      </c>
      <c r="F163" s="8" t="s">
        <v>645</v>
      </c>
      <c r="G163" s="8" t="s">
        <v>646</v>
      </c>
      <c r="H163" s="8" t="s">
        <v>647</v>
      </c>
    </row>
    <row r="164">
      <c r="A164" s="3">
        <v>10163.0</v>
      </c>
      <c r="B164" s="8" t="s">
        <v>302</v>
      </c>
      <c r="C164" s="8" t="s">
        <v>303</v>
      </c>
      <c r="D164" s="26" t="s">
        <v>648</v>
      </c>
      <c r="E164" s="8" t="s">
        <v>649</v>
      </c>
      <c r="F164" s="8" t="s">
        <v>648</v>
      </c>
      <c r="G164" s="8" t="s">
        <v>650</v>
      </c>
      <c r="H164" s="8" t="s">
        <v>651</v>
      </c>
    </row>
    <row r="165">
      <c r="A165" s="3">
        <v>10164.0</v>
      </c>
      <c r="B165" s="8" t="s">
        <v>302</v>
      </c>
      <c r="C165" s="8" t="s">
        <v>303</v>
      </c>
      <c r="D165" s="26" t="s">
        <v>235</v>
      </c>
      <c r="E165" s="8" t="s">
        <v>236</v>
      </c>
      <c r="F165" s="8" t="s">
        <v>237</v>
      </c>
      <c r="G165" s="8" t="s">
        <v>652</v>
      </c>
      <c r="H165" s="8" t="s">
        <v>653</v>
      </c>
    </row>
    <row r="166">
      <c r="A166" s="3">
        <v>10165.0</v>
      </c>
      <c r="B166" s="8" t="s">
        <v>302</v>
      </c>
      <c r="C166" s="8" t="s">
        <v>303</v>
      </c>
      <c r="D166" s="26" t="s">
        <v>654</v>
      </c>
      <c r="E166" s="8" t="s">
        <v>655</v>
      </c>
      <c r="F166" s="8" t="s">
        <v>656</v>
      </c>
      <c r="G166" s="8" t="s">
        <v>657</v>
      </c>
      <c r="H166" s="8" t="s">
        <v>658</v>
      </c>
    </row>
    <row r="167">
      <c r="A167" s="3">
        <v>10166.0</v>
      </c>
      <c r="B167" s="8" t="s">
        <v>302</v>
      </c>
      <c r="C167" s="8" t="s">
        <v>303</v>
      </c>
      <c r="D167" s="26" t="s">
        <v>659</v>
      </c>
      <c r="E167" s="8" t="s">
        <v>660</v>
      </c>
      <c r="F167" s="8" t="s">
        <v>659</v>
      </c>
      <c r="G167" s="8" t="s">
        <v>661</v>
      </c>
      <c r="H167" s="8" t="s">
        <v>662</v>
      </c>
    </row>
    <row r="168">
      <c r="A168" s="3">
        <v>10167.0</v>
      </c>
      <c r="B168" s="8" t="s">
        <v>302</v>
      </c>
      <c r="C168" s="8" t="s">
        <v>303</v>
      </c>
      <c r="D168" s="26" t="s">
        <v>663</v>
      </c>
      <c r="E168" s="8" t="s">
        <v>664</v>
      </c>
      <c r="F168" s="8" t="s">
        <v>663</v>
      </c>
      <c r="G168" s="8" t="s">
        <v>665</v>
      </c>
      <c r="H168" s="8" t="s">
        <v>666</v>
      </c>
    </row>
    <row r="169">
      <c r="A169" s="3">
        <v>10168.0</v>
      </c>
      <c r="B169" s="8" t="s">
        <v>302</v>
      </c>
      <c r="C169" s="8" t="s">
        <v>303</v>
      </c>
      <c r="D169" s="26" t="s">
        <v>667</v>
      </c>
      <c r="E169" s="8" t="s">
        <v>668</v>
      </c>
      <c r="F169" s="8" t="s">
        <v>669</v>
      </c>
      <c r="G169" s="8" t="s">
        <v>670</v>
      </c>
      <c r="H169" s="8" t="s">
        <v>671</v>
      </c>
    </row>
    <row r="170">
      <c r="A170" s="3">
        <v>10169.0</v>
      </c>
      <c r="B170" s="8" t="s">
        <v>302</v>
      </c>
      <c r="C170" s="8" t="s">
        <v>303</v>
      </c>
      <c r="D170" s="26" t="s">
        <v>52</v>
      </c>
      <c r="E170" s="8" t="s">
        <v>53</v>
      </c>
      <c r="F170" s="8" t="s">
        <v>54</v>
      </c>
      <c r="G170" s="8" t="s">
        <v>672</v>
      </c>
      <c r="H170" s="8" t="s">
        <v>673</v>
      </c>
    </row>
    <row r="171">
      <c r="A171" s="3">
        <v>10170.0</v>
      </c>
      <c r="B171" s="8" t="s">
        <v>302</v>
      </c>
      <c r="C171" s="8" t="s">
        <v>303</v>
      </c>
      <c r="D171" s="26" t="s">
        <v>484</v>
      </c>
      <c r="E171" s="8" t="s">
        <v>485</v>
      </c>
      <c r="F171" s="8" t="s">
        <v>484</v>
      </c>
      <c r="G171" s="8" t="s">
        <v>674</v>
      </c>
      <c r="H171" s="8" t="s">
        <v>675</v>
      </c>
    </row>
    <row r="172">
      <c r="A172" s="3">
        <v>10171.0</v>
      </c>
      <c r="B172" s="8" t="s">
        <v>302</v>
      </c>
      <c r="C172" s="8" t="s">
        <v>303</v>
      </c>
      <c r="D172" s="26" t="s">
        <v>676</v>
      </c>
      <c r="E172" s="8" t="s">
        <v>677</v>
      </c>
      <c r="F172" s="8" t="s">
        <v>678</v>
      </c>
      <c r="G172" s="8" t="s">
        <v>679</v>
      </c>
      <c r="H172" s="8" t="s">
        <v>680</v>
      </c>
    </row>
    <row r="173">
      <c r="A173" s="3">
        <v>10172.0</v>
      </c>
      <c r="B173" s="8" t="s">
        <v>308</v>
      </c>
      <c r="C173" s="8" t="s">
        <v>309</v>
      </c>
      <c r="D173" s="26" t="s">
        <v>423</v>
      </c>
      <c r="E173" s="8" t="s">
        <v>424</v>
      </c>
      <c r="F173" s="8" t="s">
        <v>425</v>
      </c>
      <c r="G173" s="8" t="s">
        <v>681</v>
      </c>
      <c r="H173" s="8" t="s">
        <v>682</v>
      </c>
    </row>
    <row r="174">
      <c r="A174" s="3">
        <v>10173.0</v>
      </c>
      <c r="B174" s="8" t="s">
        <v>308</v>
      </c>
      <c r="C174" s="8" t="s">
        <v>309</v>
      </c>
      <c r="D174" s="26" t="s">
        <v>101</v>
      </c>
      <c r="E174" s="8" t="s">
        <v>102</v>
      </c>
      <c r="F174" s="8" t="s">
        <v>103</v>
      </c>
      <c r="G174" s="8" t="s">
        <v>683</v>
      </c>
      <c r="H174" s="8" t="s">
        <v>684</v>
      </c>
    </row>
    <row r="175">
      <c r="A175" s="3">
        <v>10174.0</v>
      </c>
      <c r="B175" s="8" t="s">
        <v>308</v>
      </c>
      <c r="C175" s="8" t="s">
        <v>309</v>
      </c>
      <c r="D175" s="26" t="s">
        <v>403</v>
      </c>
      <c r="E175" s="8" t="s">
        <v>404</v>
      </c>
      <c r="F175" s="8" t="s">
        <v>405</v>
      </c>
      <c r="G175" s="8" t="s">
        <v>685</v>
      </c>
      <c r="H175" s="8" t="s">
        <v>686</v>
      </c>
    </row>
    <row r="176">
      <c r="A176" s="3">
        <v>10175.0</v>
      </c>
      <c r="B176" s="8" t="s">
        <v>308</v>
      </c>
      <c r="C176" s="8" t="s">
        <v>309</v>
      </c>
      <c r="D176" s="26" t="s">
        <v>268</v>
      </c>
      <c r="E176" s="8" t="s">
        <v>269</v>
      </c>
      <c r="F176" s="8" t="s">
        <v>270</v>
      </c>
      <c r="G176" s="8" t="s">
        <v>687</v>
      </c>
      <c r="H176" s="8" t="s">
        <v>688</v>
      </c>
    </row>
    <row r="177">
      <c r="A177" s="3">
        <v>10176.0</v>
      </c>
      <c r="B177" s="8" t="s">
        <v>308</v>
      </c>
      <c r="C177" s="8" t="s">
        <v>309</v>
      </c>
      <c r="D177" s="26" t="s">
        <v>123</v>
      </c>
      <c r="E177" s="8" t="s">
        <v>124</v>
      </c>
      <c r="F177" s="8" t="s">
        <v>125</v>
      </c>
      <c r="G177" s="8" t="s">
        <v>689</v>
      </c>
      <c r="H177" s="8" t="s">
        <v>690</v>
      </c>
    </row>
    <row r="178">
      <c r="A178" s="3">
        <v>10177.0</v>
      </c>
      <c r="B178" s="8" t="s">
        <v>308</v>
      </c>
      <c r="C178" s="8" t="s">
        <v>309</v>
      </c>
      <c r="D178" s="26" t="s">
        <v>430</v>
      </c>
      <c r="E178" s="8" t="s">
        <v>431</v>
      </c>
      <c r="F178" s="8" t="s">
        <v>432</v>
      </c>
      <c r="G178" s="8" t="s">
        <v>691</v>
      </c>
      <c r="H178" s="8" t="s">
        <v>692</v>
      </c>
    </row>
    <row r="179">
      <c r="A179" s="3">
        <v>10178.0</v>
      </c>
      <c r="B179" s="8" t="s">
        <v>308</v>
      </c>
      <c r="C179" s="8" t="s">
        <v>309</v>
      </c>
      <c r="D179" s="26" t="s">
        <v>213</v>
      </c>
      <c r="E179" s="8" t="s">
        <v>214</v>
      </c>
      <c r="F179" s="8" t="s">
        <v>215</v>
      </c>
      <c r="G179" s="8" t="s">
        <v>693</v>
      </c>
      <c r="H179" s="8" t="s">
        <v>694</v>
      </c>
    </row>
    <row r="180">
      <c r="A180" s="3">
        <v>10179.0</v>
      </c>
      <c r="B180" s="8" t="s">
        <v>308</v>
      </c>
      <c r="C180" s="8" t="s">
        <v>309</v>
      </c>
      <c r="D180" s="26" t="s">
        <v>695</v>
      </c>
      <c r="E180" s="8" t="s">
        <v>417</v>
      </c>
      <c r="F180" s="8" t="s">
        <v>418</v>
      </c>
      <c r="G180" s="8" t="s">
        <v>696</v>
      </c>
      <c r="H180" s="8" t="s">
        <v>697</v>
      </c>
    </row>
    <row r="181">
      <c r="A181" s="3">
        <v>10180.0</v>
      </c>
      <c r="B181" s="8" t="s">
        <v>308</v>
      </c>
      <c r="C181" s="8" t="s">
        <v>309</v>
      </c>
      <c r="D181" s="26" t="s">
        <v>698</v>
      </c>
      <c r="E181" s="8" t="s">
        <v>699</v>
      </c>
      <c r="F181" s="8" t="s">
        <v>700</v>
      </c>
      <c r="G181" s="8" t="s">
        <v>701</v>
      </c>
      <c r="H181" s="8" t="s">
        <v>702</v>
      </c>
    </row>
    <row r="182">
      <c r="A182" s="3">
        <v>10181.0</v>
      </c>
      <c r="B182" s="8" t="s">
        <v>308</v>
      </c>
      <c r="C182" s="8" t="s">
        <v>309</v>
      </c>
      <c r="D182" s="26" t="s">
        <v>35</v>
      </c>
      <c r="E182" s="8" t="s">
        <v>36</v>
      </c>
      <c r="F182" s="8" t="s">
        <v>37</v>
      </c>
      <c r="G182" s="8" t="s">
        <v>703</v>
      </c>
      <c r="H182" s="8" t="s">
        <v>704</v>
      </c>
    </row>
    <row r="183">
      <c r="A183" s="3">
        <v>10182.0</v>
      </c>
      <c r="B183" s="8" t="s">
        <v>308</v>
      </c>
      <c r="C183" s="8" t="s">
        <v>309</v>
      </c>
      <c r="D183" s="26" t="s">
        <v>423</v>
      </c>
      <c r="E183" s="8" t="s">
        <v>424</v>
      </c>
      <c r="F183" s="8" t="s">
        <v>425</v>
      </c>
      <c r="G183" s="8" t="s">
        <v>705</v>
      </c>
      <c r="H183" s="8" t="s">
        <v>706</v>
      </c>
    </row>
    <row r="184">
      <c r="A184" s="3">
        <v>10183.0</v>
      </c>
      <c r="B184" s="8" t="s">
        <v>308</v>
      </c>
      <c r="C184" s="8" t="s">
        <v>309</v>
      </c>
      <c r="D184" s="26" t="s">
        <v>707</v>
      </c>
      <c r="E184" s="8" t="s">
        <v>708</v>
      </c>
      <c r="F184" s="8" t="s">
        <v>709</v>
      </c>
      <c r="G184" s="8" t="s">
        <v>710</v>
      </c>
      <c r="H184" s="8" t="s">
        <v>711</v>
      </c>
    </row>
    <row r="185">
      <c r="A185" s="3">
        <v>10184.0</v>
      </c>
      <c r="B185" s="8" t="s">
        <v>308</v>
      </c>
      <c r="C185" s="8" t="s">
        <v>309</v>
      </c>
      <c r="D185" s="26" t="s">
        <v>712</v>
      </c>
      <c r="E185" s="8" t="s">
        <v>713</v>
      </c>
      <c r="F185" s="8" t="s">
        <v>714</v>
      </c>
      <c r="G185" s="8" t="s">
        <v>715</v>
      </c>
      <c r="H185" s="8" t="s">
        <v>716</v>
      </c>
    </row>
    <row r="186">
      <c r="A186" s="3">
        <v>10185.0</v>
      </c>
      <c r="B186" s="8" t="s">
        <v>308</v>
      </c>
      <c r="C186" s="8" t="s">
        <v>309</v>
      </c>
      <c r="D186" s="26" t="s">
        <v>717</v>
      </c>
      <c r="E186" s="8" t="s">
        <v>718</v>
      </c>
      <c r="F186" s="8" t="s">
        <v>719</v>
      </c>
      <c r="G186" s="8" t="s">
        <v>720</v>
      </c>
      <c r="H186" s="8" t="s">
        <v>721</v>
      </c>
    </row>
    <row r="187">
      <c r="A187" s="3">
        <v>10186.0</v>
      </c>
      <c r="B187" s="8" t="s">
        <v>308</v>
      </c>
      <c r="C187" s="8" t="s">
        <v>309</v>
      </c>
      <c r="D187" s="26" t="s">
        <v>722</v>
      </c>
      <c r="E187" s="8" t="s">
        <v>723</v>
      </c>
      <c r="F187" s="8" t="s">
        <v>724</v>
      </c>
      <c r="G187" s="8" t="s">
        <v>725</v>
      </c>
      <c r="H187" s="8" t="s">
        <v>726</v>
      </c>
    </row>
    <row r="188">
      <c r="A188" s="3">
        <v>10187.0</v>
      </c>
      <c r="B188" s="8" t="s">
        <v>308</v>
      </c>
      <c r="C188" s="8" t="s">
        <v>309</v>
      </c>
      <c r="D188" s="26" t="s">
        <v>388</v>
      </c>
      <c r="E188" s="8" t="s">
        <v>389</v>
      </c>
      <c r="F188" s="8" t="s">
        <v>390</v>
      </c>
      <c r="G188" s="8" t="s">
        <v>727</v>
      </c>
      <c r="H188" s="8" t="s">
        <v>728</v>
      </c>
    </row>
    <row r="189">
      <c r="A189" s="3">
        <v>10188.0</v>
      </c>
      <c r="B189" s="8" t="s">
        <v>308</v>
      </c>
      <c r="C189" s="8" t="s">
        <v>309</v>
      </c>
      <c r="D189" s="26" t="s">
        <v>729</v>
      </c>
      <c r="E189" s="8" t="s">
        <v>730</v>
      </c>
      <c r="F189" s="8" t="s">
        <v>731</v>
      </c>
      <c r="G189" s="8" t="s">
        <v>732</v>
      </c>
      <c r="H189" s="8" t="s">
        <v>733</v>
      </c>
    </row>
    <row r="190">
      <c r="A190" s="3">
        <v>10189.0</v>
      </c>
      <c r="B190" s="8" t="s">
        <v>312</v>
      </c>
      <c r="C190" s="8" t="s">
        <v>313</v>
      </c>
      <c r="D190" s="26" t="s">
        <v>452</v>
      </c>
      <c r="E190" s="8" t="s">
        <v>453</v>
      </c>
      <c r="F190" s="8" t="s">
        <v>454</v>
      </c>
      <c r="G190" s="8" t="s">
        <v>734</v>
      </c>
      <c r="H190" s="8" t="s">
        <v>735</v>
      </c>
    </row>
    <row r="191">
      <c r="A191" s="3">
        <v>10190.0</v>
      </c>
      <c r="B191" s="8" t="s">
        <v>312</v>
      </c>
      <c r="C191" s="8" t="s">
        <v>313</v>
      </c>
      <c r="D191" s="26" t="s">
        <v>376</v>
      </c>
      <c r="E191" s="8" t="s">
        <v>377</v>
      </c>
      <c r="F191" s="8" t="s">
        <v>378</v>
      </c>
      <c r="G191" s="8" t="s">
        <v>736</v>
      </c>
      <c r="H191" s="8" t="s">
        <v>737</v>
      </c>
    </row>
    <row r="192">
      <c r="A192" s="3">
        <v>10191.0</v>
      </c>
      <c r="B192" s="8" t="s">
        <v>312</v>
      </c>
      <c r="C192" s="8" t="s">
        <v>313</v>
      </c>
      <c r="D192" s="26" t="s">
        <v>45</v>
      </c>
      <c r="E192" s="8" t="s">
        <v>46</v>
      </c>
      <c r="F192" s="8" t="s">
        <v>47</v>
      </c>
      <c r="G192" s="8" t="s">
        <v>738</v>
      </c>
      <c r="H192" s="8" t="s">
        <v>739</v>
      </c>
    </row>
    <row r="193">
      <c r="A193" s="3">
        <v>10192.0</v>
      </c>
      <c r="B193" s="8" t="s">
        <v>312</v>
      </c>
      <c r="C193" s="8" t="s">
        <v>313</v>
      </c>
      <c r="D193" s="26" t="s">
        <v>108</v>
      </c>
      <c r="E193" s="8" t="s">
        <v>109</v>
      </c>
      <c r="F193" s="8" t="s">
        <v>110</v>
      </c>
      <c r="G193" s="8" t="s">
        <v>740</v>
      </c>
      <c r="H193" s="8" t="s">
        <v>741</v>
      </c>
    </row>
    <row r="194">
      <c r="A194" s="3">
        <v>10193.0</v>
      </c>
      <c r="B194" s="8" t="s">
        <v>312</v>
      </c>
      <c r="C194" s="8" t="s">
        <v>313</v>
      </c>
      <c r="D194" s="26" t="s">
        <v>72</v>
      </c>
      <c r="E194" s="8" t="s">
        <v>73</v>
      </c>
      <c r="F194" s="8" t="s">
        <v>74</v>
      </c>
      <c r="G194" s="8" t="s">
        <v>742</v>
      </c>
      <c r="H194" s="8" t="s">
        <v>743</v>
      </c>
    </row>
    <row r="195">
      <c r="A195" s="3">
        <v>10194.0</v>
      </c>
      <c r="B195" s="8" t="s">
        <v>312</v>
      </c>
      <c r="C195" s="8" t="s">
        <v>313</v>
      </c>
      <c r="D195" s="26" t="s">
        <v>77</v>
      </c>
      <c r="E195" s="8" t="s">
        <v>78</v>
      </c>
      <c r="F195" s="8" t="s">
        <v>79</v>
      </c>
      <c r="G195" s="8" t="s">
        <v>744</v>
      </c>
      <c r="H195" s="8" t="s">
        <v>745</v>
      </c>
    </row>
    <row r="196">
      <c r="A196" s="3">
        <v>10195.0</v>
      </c>
      <c r="B196" s="8" t="s">
        <v>312</v>
      </c>
      <c r="C196" s="8" t="s">
        <v>313</v>
      </c>
      <c r="D196" s="26" t="s">
        <v>746</v>
      </c>
      <c r="E196" s="8" t="s">
        <v>747</v>
      </c>
      <c r="F196" s="8" t="s">
        <v>748</v>
      </c>
      <c r="G196" s="8" t="s">
        <v>749</v>
      </c>
      <c r="H196" s="8" t="s">
        <v>750</v>
      </c>
    </row>
    <row r="197">
      <c r="A197" s="3">
        <v>10196.0</v>
      </c>
      <c r="B197" s="8" t="s">
        <v>312</v>
      </c>
      <c r="C197" s="8" t="s">
        <v>313</v>
      </c>
      <c r="D197" s="26" t="s">
        <v>751</v>
      </c>
      <c r="E197" s="8" t="s">
        <v>752</v>
      </c>
      <c r="F197" s="8" t="s">
        <v>753</v>
      </c>
      <c r="G197" s="8" t="s">
        <v>754</v>
      </c>
      <c r="H197" s="8" t="s">
        <v>755</v>
      </c>
    </row>
    <row r="198">
      <c r="A198" s="3">
        <v>10197.0</v>
      </c>
      <c r="B198" s="8" t="s">
        <v>312</v>
      </c>
      <c r="C198" s="8" t="s">
        <v>313</v>
      </c>
      <c r="D198" s="26" t="s">
        <v>756</v>
      </c>
      <c r="E198" s="8" t="s">
        <v>757</v>
      </c>
      <c r="F198" s="8" t="s">
        <v>758</v>
      </c>
      <c r="G198" s="8" t="s">
        <v>759</v>
      </c>
      <c r="H198" s="8" t="s">
        <v>760</v>
      </c>
    </row>
    <row r="199">
      <c r="A199" s="3">
        <v>10198.0</v>
      </c>
      <c r="B199" s="8" t="s">
        <v>312</v>
      </c>
      <c r="C199" s="8" t="s">
        <v>313</v>
      </c>
      <c r="D199" s="26" t="s">
        <v>756</v>
      </c>
      <c r="E199" s="8" t="s">
        <v>757</v>
      </c>
      <c r="F199" s="8" t="s">
        <v>758</v>
      </c>
      <c r="G199" s="8" t="s">
        <v>761</v>
      </c>
      <c r="H199" s="8" t="s">
        <v>762</v>
      </c>
    </row>
    <row r="200">
      <c r="A200" s="3">
        <v>10199.0</v>
      </c>
      <c r="B200" s="8" t="s">
        <v>312</v>
      </c>
      <c r="C200" s="8" t="s">
        <v>313</v>
      </c>
      <c r="D200" s="26" t="s">
        <v>763</v>
      </c>
      <c r="E200" s="8" t="s">
        <v>764</v>
      </c>
      <c r="F200" s="8" t="s">
        <v>765</v>
      </c>
      <c r="G200" s="8" t="s">
        <v>766</v>
      </c>
      <c r="H200" s="8" t="s">
        <v>767</v>
      </c>
    </row>
    <row r="201">
      <c r="A201" s="3">
        <v>10200.0</v>
      </c>
      <c r="B201" s="8" t="s">
        <v>312</v>
      </c>
      <c r="C201" s="8" t="s">
        <v>313</v>
      </c>
      <c r="D201" s="26" t="s">
        <v>667</v>
      </c>
      <c r="E201" s="8" t="s">
        <v>668</v>
      </c>
      <c r="F201" s="8" t="s">
        <v>669</v>
      </c>
      <c r="G201" s="8" t="s">
        <v>768</v>
      </c>
      <c r="H201" s="8" t="s">
        <v>769</v>
      </c>
    </row>
    <row r="202">
      <c r="A202" s="3">
        <v>10201.0</v>
      </c>
      <c r="B202" s="8" t="s">
        <v>312</v>
      </c>
      <c r="C202" s="8" t="s">
        <v>313</v>
      </c>
      <c r="D202" s="26" t="s">
        <v>770</v>
      </c>
      <c r="E202" s="8" t="s">
        <v>771</v>
      </c>
      <c r="F202" s="8" t="s">
        <v>772</v>
      </c>
      <c r="G202" s="8" t="s">
        <v>773</v>
      </c>
      <c r="H202" s="8" t="s">
        <v>774</v>
      </c>
    </row>
    <row r="203">
      <c r="A203" s="3">
        <v>10202.0</v>
      </c>
      <c r="B203" s="8" t="s">
        <v>312</v>
      </c>
      <c r="C203" s="8" t="s">
        <v>313</v>
      </c>
      <c r="D203" s="26" t="s">
        <v>82</v>
      </c>
      <c r="E203" s="8" t="s">
        <v>83</v>
      </c>
      <c r="F203" s="8" t="s">
        <v>84</v>
      </c>
      <c r="G203" s="8" t="s">
        <v>775</v>
      </c>
      <c r="H203" s="8" t="s">
        <v>776</v>
      </c>
    </row>
    <row r="204">
      <c r="A204" s="3">
        <v>10203.0</v>
      </c>
      <c r="B204" s="8" t="s">
        <v>312</v>
      </c>
      <c r="C204" s="8" t="s">
        <v>313</v>
      </c>
      <c r="D204" s="26" t="s">
        <v>777</v>
      </c>
      <c r="E204" s="8" t="s">
        <v>778</v>
      </c>
      <c r="F204" s="8" t="s">
        <v>779</v>
      </c>
      <c r="G204" s="8" t="s">
        <v>780</v>
      </c>
      <c r="H204" s="8" t="s">
        <v>781</v>
      </c>
    </row>
    <row r="205">
      <c r="A205" s="3">
        <v>10204.0</v>
      </c>
      <c r="B205" s="8" t="s">
        <v>312</v>
      </c>
      <c r="C205" s="8" t="s">
        <v>313</v>
      </c>
      <c r="D205" s="26" t="s">
        <v>782</v>
      </c>
      <c r="E205" s="8" t="s">
        <v>783</v>
      </c>
      <c r="F205" s="8" t="s">
        <v>784</v>
      </c>
      <c r="G205" s="8" t="s">
        <v>785</v>
      </c>
      <c r="H205" s="8" t="s">
        <v>786</v>
      </c>
    </row>
    <row r="206">
      <c r="A206" s="3">
        <v>10205.0</v>
      </c>
      <c r="B206" s="8" t="s">
        <v>295</v>
      </c>
      <c r="C206" s="8" t="s">
        <v>296</v>
      </c>
      <c r="D206" s="26" t="s">
        <v>643</v>
      </c>
      <c r="E206" s="8" t="s">
        <v>644</v>
      </c>
      <c r="F206" s="8" t="s">
        <v>645</v>
      </c>
      <c r="G206" s="8" t="s">
        <v>787</v>
      </c>
      <c r="H206" s="8" t="s">
        <v>788</v>
      </c>
    </row>
    <row r="207">
      <c r="A207" s="3">
        <v>10206.0</v>
      </c>
      <c r="B207" s="8" t="s">
        <v>295</v>
      </c>
      <c r="C207" s="8" t="s">
        <v>296</v>
      </c>
      <c r="D207" s="26" t="s">
        <v>108</v>
      </c>
      <c r="E207" s="8" t="s">
        <v>109</v>
      </c>
      <c r="F207" s="8" t="s">
        <v>110</v>
      </c>
      <c r="G207" s="8" t="s">
        <v>789</v>
      </c>
      <c r="H207" s="8" t="s">
        <v>790</v>
      </c>
    </row>
    <row r="208">
      <c r="A208" s="3">
        <v>10207.0</v>
      </c>
      <c r="B208" s="8" t="s">
        <v>295</v>
      </c>
      <c r="C208" s="8" t="s">
        <v>296</v>
      </c>
      <c r="D208" s="26" t="s">
        <v>791</v>
      </c>
      <c r="E208" s="8" t="s">
        <v>792</v>
      </c>
      <c r="F208" s="8" t="s">
        <v>793</v>
      </c>
      <c r="G208" s="8" t="s">
        <v>794</v>
      </c>
      <c r="H208" s="8" t="s">
        <v>795</v>
      </c>
    </row>
    <row r="209">
      <c r="A209" s="3">
        <v>10208.0</v>
      </c>
      <c r="B209" s="8" t="s">
        <v>295</v>
      </c>
      <c r="C209" s="8" t="s">
        <v>296</v>
      </c>
      <c r="D209" s="26" t="s">
        <v>321</v>
      </c>
      <c r="E209" s="8" t="s">
        <v>322</v>
      </c>
      <c r="F209" s="8" t="s">
        <v>321</v>
      </c>
      <c r="G209" s="8" t="s">
        <v>796</v>
      </c>
      <c r="H209" s="8" t="s">
        <v>797</v>
      </c>
    </row>
    <row r="210">
      <c r="A210" s="3">
        <v>10209.0</v>
      </c>
      <c r="B210" s="8" t="s">
        <v>295</v>
      </c>
      <c r="C210" s="8" t="s">
        <v>296</v>
      </c>
      <c r="D210" s="26" t="s">
        <v>331</v>
      </c>
      <c r="E210" s="8" t="s">
        <v>332</v>
      </c>
      <c r="F210" s="8" t="s">
        <v>331</v>
      </c>
      <c r="G210" s="8" t="s">
        <v>798</v>
      </c>
      <c r="H210" s="8" t="s">
        <v>799</v>
      </c>
    </row>
    <row r="211">
      <c r="A211" s="3">
        <v>10210.0</v>
      </c>
      <c r="B211" s="8" t="s">
        <v>295</v>
      </c>
      <c r="C211" s="8" t="s">
        <v>296</v>
      </c>
      <c r="D211" s="26" t="s">
        <v>304</v>
      </c>
      <c r="E211" s="8" t="s">
        <v>305</v>
      </c>
      <c r="F211" s="8" t="s">
        <v>304</v>
      </c>
      <c r="G211" s="8" t="s">
        <v>800</v>
      </c>
      <c r="H211" s="8" t="s">
        <v>801</v>
      </c>
    </row>
    <row r="212">
      <c r="A212" s="3">
        <v>10211.0</v>
      </c>
      <c r="B212" s="8" t="s">
        <v>295</v>
      </c>
      <c r="C212" s="8" t="s">
        <v>296</v>
      </c>
      <c r="D212" s="26" t="s">
        <v>72</v>
      </c>
      <c r="E212" s="8" t="s">
        <v>73</v>
      </c>
      <c r="F212" s="8" t="s">
        <v>74</v>
      </c>
      <c r="G212" s="8" t="s">
        <v>802</v>
      </c>
      <c r="H212" s="8" t="s">
        <v>803</v>
      </c>
    </row>
    <row r="213">
      <c r="A213" s="3">
        <v>10212.0</v>
      </c>
      <c r="B213" s="8" t="s">
        <v>295</v>
      </c>
      <c r="C213" s="8" t="s">
        <v>296</v>
      </c>
      <c r="D213" s="11" t="s">
        <v>149</v>
      </c>
      <c r="E213" s="6" t="s">
        <v>150</v>
      </c>
      <c r="F213" s="5" t="s">
        <v>151</v>
      </c>
      <c r="G213" s="8" t="s">
        <v>804</v>
      </c>
      <c r="H213" s="8" t="s">
        <v>805</v>
      </c>
    </row>
    <row r="214">
      <c r="A214" s="3">
        <v>10213.0</v>
      </c>
      <c r="B214" s="8" t="s">
        <v>295</v>
      </c>
      <c r="C214" s="8" t="s">
        <v>296</v>
      </c>
      <c r="D214" s="26" t="s">
        <v>806</v>
      </c>
      <c r="E214" s="8" t="s">
        <v>807</v>
      </c>
      <c r="F214" s="8" t="s">
        <v>808</v>
      </c>
      <c r="G214" s="8" t="s">
        <v>809</v>
      </c>
      <c r="H214" s="8" t="s">
        <v>810</v>
      </c>
    </row>
    <row r="215">
      <c r="A215" s="3">
        <v>10214.0</v>
      </c>
      <c r="B215" s="8" t="s">
        <v>295</v>
      </c>
      <c r="C215" s="8" t="s">
        <v>296</v>
      </c>
      <c r="D215" s="26" t="s">
        <v>811</v>
      </c>
      <c r="E215" s="8" t="s">
        <v>812</v>
      </c>
      <c r="F215" s="8" t="s">
        <v>813</v>
      </c>
      <c r="G215" s="8" t="s">
        <v>814</v>
      </c>
      <c r="H215" s="8" t="s">
        <v>815</v>
      </c>
    </row>
    <row r="216">
      <c r="A216" s="3">
        <v>10215.0</v>
      </c>
      <c r="B216" s="8" t="s">
        <v>295</v>
      </c>
      <c r="C216" s="8" t="s">
        <v>296</v>
      </c>
      <c r="D216" s="26" t="s">
        <v>816</v>
      </c>
      <c r="E216" s="8" t="s">
        <v>817</v>
      </c>
      <c r="F216" s="8" t="s">
        <v>818</v>
      </c>
      <c r="G216" s="8" t="s">
        <v>819</v>
      </c>
      <c r="H216" s="8" t="s">
        <v>820</v>
      </c>
    </row>
    <row r="217">
      <c r="A217" s="3">
        <v>10216.0</v>
      </c>
      <c r="B217" s="8" t="s">
        <v>295</v>
      </c>
      <c r="C217" s="8" t="s">
        <v>296</v>
      </c>
      <c r="D217" s="26" t="s">
        <v>335</v>
      </c>
      <c r="E217" s="8" t="s">
        <v>336</v>
      </c>
      <c r="F217" s="8" t="s">
        <v>337</v>
      </c>
      <c r="G217" s="8" t="s">
        <v>821</v>
      </c>
      <c r="H217" s="8" t="s">
        <v>822</v>
      </c>
    </row>
    <row r="218">
      <c r="A218" s="3">
        <v>10217.0</v>
      </c>
      <c r="B218" s="8" t="s">
        <v>295</v>
      </c>
      <c r="C218" s="8" t="s">
        <v>296</v>
      </c>
      <c r="D218" s="26" t="s">
        <v>823</v>
      </c>
      <c r="E218" s="8" t="s">
        <v>824</v>
      </c>
      <c r="F218" s="8" t="s">
        <v>825</v>
      </c>
      <c r="G218" s="8" t="s">
        <v>826</v>
      </c>
      <c r="H218" s="8" t="s">
        <v>827</v>
      </c>
    </row>
    <row r="219">
      <c r="A219" s="3">
        <v>10218.0</v>
      </c>
      <c r="B219" s="8" t="s">
        <v>295</v>
      </c>
      <c r="C219" s="8" t="s">
        <v>296</v>
      </c>
      <c r="D219" s="26" t="s">
        <v>523</v>
      </c>
      <c r="E219" s="8" t="s">
        <v>524</v>
      </c>
      <c r="F219" s="8" t="s">
        <v>525</v>
      </c>
      <c r="G219" s="8" t="s">
        <v>828</v>
      </c>
      <c r="H219" s="8" t="s">
        <v>829</v>
      </c>
    </row>
    <row r="220">
      <c r="A220" s="3">
        <v>10219.0</v>
      </c>
      <c r="B220" s="8" t="s">
        <v>295</v>
      </c>
      <c r="C220" s="8" t="s">
        <v>296</v>
      </c>
      <c r="D220" s="26" t="s">
        <v>830</v>
      </c>
      <c r="E220" s="8" t="s">
        <v>831</v>
      </c>
      <c r="F220" s="8" t="s">
        <v>830</v>
      </c>
      <c r="G220" s="8" t="s">
        <v>832</v>
      </c>
      <c r="H220" s="8" t="s">
        <v>833</v>
      </c>
    </row>
    <row r="221">
      <c r="A221" s="3">
        <v>10220.0</v>
      </c>
      <c r="B221" s="8" t="s">
        <v>295</v>
      </c>
      <c r="C221" s="8" t="s">
        <v>296</v>
      </c>
      <c r="D221" s="26" t="s">
        <v>834</v>
      </c>
      <c r="E221" s="8" t="s">
        <v>835</v>
      </c>
      <c r="F221" s="8" t="s">
        <v>836</v>
      </c>
      <c r="G221" s="8" t="s">
        <v>837</v>
      </c>
      <c r="H221" s="8" t="s">
        <v>838</v>
      </c>
    </row>
    <row r="222">
      <c r="A222" s="3">
        <v>10221.0</v>
      </c>
      <c r="B222" s="8" t="s">
        <v>8</v>
      </c>
      <c r="C222" s="8" t="s">
        <v>9</v>
      </c>
      <c r="D222" s="26" t="s">
        <v>178</v>
      </c>
      <c r="E222" s="8" t="s">
        <v>179</v>
      </c>
      <c r="F222" s="8" t="s">
        <v>178</v>
      </c>
      <c r="G222" s="8" t="s">
        <v>839</v>
      </c>
      <c r="H222" s="8" t="s">
        <v>840</v>
      </c>
    </row>
    <row r="223">
      <c r="A223" s="3">
        <v>10222.0</v>
      </c>
      <c r="B223" s="8" t="s">
        <v>8</v>
      </c>
      <c r="C223" s="8" t="s">
        <v>9</v>
      </c>
      <c r="D223" s="26" t="s">
        <v>841</v>
      </c>
      <c r="E223" s="8" t="s">
        <v>842</v>
      </c>
      <c r="F223" s="8" t="s">
        <v>843</v>
      </c>
      <c r="G223" s="8" t="s">
        <v>844</v>
      </c>
      <c r="H223" s="8" t="s">
        <v>845</v>
      </c>
    </row>
    <row r="224">
      <c r="A224" s="3">
        <v>10223.0</v>
      </c>
      <c r="B224" s="8" t="s">
        <v>8</v>
      </c>
      <c r="C224" s="8" t="s">
        <v>9</v>
      </c>
      <c r="D224" s="26" t="s">
        <v>592</v>
      </c>
      <c r="E224" s="8" t="s">
        <v>593</v>
      </c>
      <c r="F224" s="8" t="s">
        <v>594</v>
      </c>
      <c r="G224" s="8" t="s">
        <v>846</v>
      </c>
      <c r="H224" s="8" t="s">
        <v>847</v>
      </c>
    </row>
    <row r="225">
      <c r="A225" s="3">
        <v>10224.0</v>
      </c>
      <c r="B225" s="8" t="s">
        <v>8</v>
      </c>
      <c r="C225" s="8" t="s">
        <v>9</v>
      </c>
      <c r="D225" s="26" t="s">
        <v>848</v>
      </c>
      <c r="E225" s="8" t="s">
        <v>849</v>
      </c>
      <c r="F225" s="8" t="s">
        <v>850</v>
      </c>
      <c r="G225" s="8" t="s">
        <v>851</v>
      </c>
      <c r="H225" s="8" t="s">
        <v>852</v>
      </c>
    </row>
    <row r="226">
      <c r="A226" s="3">
        <v>10225.0</v>
      </c>
      <c r="B226" s="8" t="s">
        <v>8</v>
      </c>
      <c r="C226" s="8" t="s">
        <v>9</v>
      </c>
      <c r="D226" s="26" t="s">
        <v>235</v>
      </c>
      <c r="E226" s="8" t="s">
        <v>236</v>
      </c>
      <c r="F226" s="8" t="s">
        <v>237</v>
      </c>
      <c r="G226" s="8" t="s">
        <v>853</v>
      </c>
      <c r="H226" s="8" t="s">
        <v>854</v>
      </c>
    </row>
    <row r="227">
      <c r="A227" s="3">
        <v>10226.0</v>
      </c>
      <c r="B227" s="8" t="s">
        <v>8</v>
      </c>
      <c r="C227" s="8" t="s">
        <v>9</v>
      </c>
      <c r="D227" s="26" t="s">
        <v>484</v>
      </c>
      <c r="E227" s="8" t="s">
        <v>485</v>
      </c>
      <c r="F227" s="8" t="s">
        <v>484</v>
      </c>
      <c r="G227" s="8" t="s">
        <v>855</v>
      </c>
      <c r="H227" s="8" t="s">
        <v>856</v>
      </c>
    </row>
    <row r="228">
      <c r="A228" s="3">
        <v>10227.0</v>
      </c>
      <c r="B228" s="8" t="s">
        <v>8</v>
      </c>
      <c r="C228" s="8" t="s">
        <v>9</v>
      </c>
      <c r="D228" s="26" t="s">
        <v>268</v>
      </c>
      <c r="E228" s="8" t="s">
        <v>269</v>
      </c>
      <c r="F228" s="8" t="s">
        <v>270</v>
      </c>
      <c r="G228" s="8" t="s">
        <v>857</v>
      </c>
      <c r="H228" s="8" t="s">
        <v>858</v>
      </c>
    </row>
    <row r="229">
      <c r="A229" s="10">
        <v>10228.0</v>
      </c>
      <c r="B229" s="8" t="s">
        <v>312</v>
      </c>
      <c r="C229" s="8" t="s">
        <v>313</v>
      </c>
      <c r="D229" s="26" t="s">
        <v>859</v>
      </c>
      <c r="E229" s="8" t="s">
        <v>860</v>
      </c>
      <c r="F229" s="8" t="s">
        <v>861</v>
      </c>
      <c r="G229" s="8" t="s">
        <v>862</v>
      </c>
      <c r="H229" s="8" t="s">
        <v>863</v>
      </c>
    </row>
    <row r="230">
      <c r="A230" s="3">
        <v>10229.0</v>
      </c>
      <c r="B230" s="8" t="s">
        <v>8</v>
      </c>
      <c r="C230" s="8" t="s">
        <v>9</v>
      </c>
      <c r="D230" s="26" t="s">
        <v>864</v>
      </c>
      <c r="E230" s="8" t="s">
        <v>382</v>
      </c>
      <c r="F230" s="8" t="s">
        <v>383</v>
      </c>
      <c r="G230" s="8" t="s">
        <v>865</v>
      </c>
      <c r="H230" s="8" t="s">
        <v>866</v>
      </c>
    </row>
    <row r="231">
      <c r="A231" s="3">
        <v>10230.0</v>
      </c>
      <c r="B231" s="8" t="s">
        <v>8</v>
      </c>
      <c r="C231" s="8" t="s">
        <v>9</v>
      </c>
      <c r="D231" s="26" t="s">
        <v>867</v>
      </c>
      <c r="E231" s="8" t="s">
        <v>868</v>
      </c>
      <c r="F231" s="8" t="s">
        <v>869</v>
      </c>
      <c r="G231" s="8" t="s">
        <v>870</v>
      </c>
      <c r="H231" s="8" t="s">
        <v>871</v>
      </c>
    </row>
    <row r="232">
      <c r="A232" s="3">
        <v>10231.0</v>
      </c>
      <c r="B232" s="8" t="s">
        <v>8</v>
      </c>
      <c r="C232" s="8" t="s">
        <v>9</v>
      </c>
      <c r="D232" s="26" t="s">
        <v>872</v>
      </c>
      <c r="E232" s="8" t="s">
        <v>873</v>
      </c>
      <c r="F232" s="8" t="s">
        <v>874</v>
      </c>
      <c r="G232" s="8" t="s">
        <v>875</v>
      </c>
      <c r="H232" s="8" t="s">
        <v>876</v>
      </c>
    </row>
    <row r="233">
      <c r="A233" s="3">
        <v>10232.0</v>
      </c>
      <c r="B233" s="8" t="s">
        <v>8</v>
      </c>
      <c r="C233" s="8" t="s">
        <v>9</v>
      </c>
      <c r="D233" s="26" t="s">
        <v>877</v>
      </c>
      <c r="E233" s="8" t="s">
        <v>878</v>
      </c>
      <c r="F233" s="8" t="s">
        <v>879</v>
      </c>
      <c r="G233" s="8" t="s">
        <v>880</v>
      </c>
      <c r="H233" s="8" t="s">
        <v>881</v>
      </c>
    </row>
    <row r="234">
      <c r="A234" s="3">
        <v>10233.0</v>
      </c>
      <c r="B234" s="8" t="s">
        <v>8</v>
      </c>
      <c r="C234" s="8" t="s">
        <v>9</v>
      </c>
      <c r="D234" s="26" t="s">
        <v>882</v>
      </c>
      <c r="E234" s="8" t="s">
        <v>883</v>
      </c>
      <c r="F234" s="8" t="s">
        <v>884</v>
      </c>
      <c r="G234" s="8" t="s">
        <v>885</v>
      </c>
      <c r="H234" s="8" t="s">
        <v>886</v>
      </c>
    </row>
    <row r="235">
      <c r="A235" s="3">
        <v>10234.0</v>
      </c>
      <c r="B235" s="8" t="s">
        <v>8</v>
      </c>
      <c r="C235" s="8" t="s">
        <v>9</v>
      </c>
      <c r="D235" s="26" t="s">
        <v>35</v>
      </c>
      <c r="E235" s="8" t="s">
        <v>887</v>
      </c>
      <c r="F235" s="8" t="s">
        <v>888</v>
      </c>
      <c r="G235" s="8" t="s">
        <v>889</v>
      </c>
      <c r="H235" s="8" t="s">
        <v>890</v>
      </c>
    </row>
    <row r="236">
      <c r="A236" s="3">
        <v>10235.0</v>
      </c>
      <c r="B236" s="8" t="s">
        <v>8</v>
      </c>
      <c r="C236" s="8" t="s">
        <v>9</v>
      </c>
      <c r="D236" s="26" t="s">
        <v>96</v>
      </c>
      <c r="E236" s="8" t="s">
        <v>97</v>
      </c>
      <c r="F236" s="8" t="s">
        <v>98</v>
      </c>
      <c r="G236" s="8" t="s">
        <v>891</v>
      </c>
      <c r="H236" s="8" t="s">
        <v>892</v>
      </c>
    </row>
    <row r="237">
      <c r="A237" s="3">
        <v>10236.0</v>
      </c>
      <c r="B237" s="8" t="s">
        <v>8</v>
      </c>
      <c r="C237" s="8" t="s">
        <v>9</v>
      </c>
      <c r="D237" s="26" t="s">
        <v>366</v>
      </c>
      <c r="E237" s="8" t="s">
        <v>367</v>
      </c>
      <c r="F237" s="8" t="s">
        <v>368</v>
      </c>
      <c r="G237" s="8" t="s">
        <v>893</v>
      </c>
      <c r="H237" s="8" t="s">
        <v>894</v>
      </c>
    </row>
    <row r="238">
      <c r="A238" s="3">
        <v>10237.0</v>
      </c>
      <c r="B238" s="8" t="s">
        <v>8</v>
      </c>
      <c r="C238" s="8" t="s">
        <v>9</v>
      </c>
      <c r="D238" s="26" t="s">
        <v>484</v>
      </c>
      <c r="E238" s="8" t="s">
        <v>485</v>
      </c>
      <c r="F238" s="8" t="s">
        <v>484</v>
      </c>
      <c r="G238" s="8" t="s">
        <v>895</v>
      </c>
      <c r="H238" s="8" t="s">
        <v>896</v>
      </c>
    </row>
    <row r="239">
      <c r="A239" s="3">
        <v>10238.0</v>
      </c>
      <c r="B239" s="8" t="s">
        <v>8</v>
      </c>
      <c r="C239" s="8" t="s">
        <v>9</v>
      </c>
      <c r="D239" s="26" t="s">
        <v>897</v>
      </c>
      <c r="E239" s="8" t="s">
        <v>898</v>
      </c>
      <c r="F239" s="8" t="s">
        <v>899</v>
      </c>
      <c r="G239" s="8" t="s">
        <v>900</v>
      </c>
      <c r="H239" s="8" t="s">
        <v>901</v>
      </c>
    </row>
    <row r="240">
      <c r="A240" s="3">
        <v>10239.0</v>
      </c>
      <c r="B240" s="8" t="s">
        <v>8</v>
      </c>
      <c r="C240" s="8" t="s">
        <v>9</v>
      </c>
      <c r="D240" s="26" t="s">
        <v>263</v>
      </c>
      <c r="E240" s="8" t="s">
        <v>264</v>
      </c>
      <c r="F240" s="8" t="s">
        <v>265</v>
      </c>
      <c r="G240" s="8" t="s">
        <v>902</v>
      </c>
      <c r="H240" s="8" t="s">
        <v>903</v>
      </c>
    </row>
    <row r="241">
      <c r="A241" s="3">
        <v>10240.0</v>
      </c>
      <c r="B241" s="8" t="s">
        <v>8</v>
      </c>
      <c r="C241" s="8" t="s">
        <v>9</v>
      </c>
      <c r="D241" s="26" t="s">
        <v>304</v>
      </c>
      <c r="E241" s="8" t="s">
        <v>305</v>
      </c>
      <c r="F241" s="8" t="s">
        <v>304</v>
      </c>
      <c r="G241" s="8" t="s">
        <v>904</v>
      </c>
      <c r="H241" s="8" t="s">
        <v>905</v>
      </c>
    </row>
    <row r="242">
      <c r="A242" s="10">
        <v>10241.0</v>
      </c>
      <c r="B242" s="8" t="s">
        <v>302</v>
      </c>
      <c r="C242" s="8" t="s">
        <v>303</v>
      </c>
      <c r="D242" s="26" t="s">
        <v>906</v>
      </c>
      <c r="E242" s="8" t="s">
        <v>907</v>
      </c>
      <c r="F242" s="8" t="s">
        <v>908</v>
      </c>
      <c r="G242" s="8" t="s">
        <v>909</v>
      </c>
      <c r="H242" s="8" t="s">
        <v>910</v>
      </c>
    </row>
    <row r="243">
      <c r="A243" s="3">
        <v>10242.0</v>
      </c>
      <c r="B243" s="8" t="s">
        <v>308</v>
      </c>
      <c r="C243" s="8" t="s">
        <v>309</v>
      </c>
      <c r="D243" s="26" t="s">
        <v>30</v>
      </c>
      <c r="E243" s="8" t="s">
        <v>31</v>
      </c>
      <c r="F243" s="8" t="s">
        <v>32</v>
      </c>
      <c r="G243" s="8" t="s">
        <v>911</v>
      </c>
      <c r="H243" s="8" t="s">
        <v>912</v>
      </c>
    </row>
    <row r="244">
      <c r="A244" s="3">
        <v>10243.0</v>
      </c>
      <c r="B244" s="8" t="s">
        <v>50</v>
      </c>
      <c r="C244" s="8" t="s">
        <v>51</v>
      </c>
      <c r="D244" s="26" t="s">
        <v>913</v>
      </c>
      <c r="E244" s="8" t="s">
        <v>914</v>
      </c>
      <c r="F244" s="8" t="s">
        <v>913</v>
      </c>
      <c r="G244" s="8" t="s">
        <v>915</v>
      </c>
      <c r="H244" s="8" t="s">
        <v>916</v>
      </c>
    </row>
    <row r="245">
      <c r="A245" s="3">
        <v>10244.0</v>
      </c>
      <c r="B245" s="8" t="s">
        <v>50</v>
      </c>
      <c r="C245" s="8" t="s">
        <v>51</v>
      </c>
      <c r="D245" s="26" t="s">
        <v>395</v>
      </c>
      <c r="E245" s="8" t="s">
        <v>396</v>
      </c>
      <c r="F245" s="8" t="s">
        <v>395</v>
      </c>
      <c r="G245" s="8" t="s">
        <v>917</v>
      </c>
      <c r="H245" s="8" t="s">
        <v>918</v>
      </c>
    </row>
    <row r="246">
      <c r="A246" s="3">
        <v>10245.0</v>
      </c>
      <c r="B246" s="8" t="s">
        <v>50</v>
      </c>
      <c r="C246" s="8" t="s">
        <v>51</v>
      </c>
      <c r="D246" s="26" t="s">
        <v>919</v>
      </c>
      <c r="E246" s="8" t="s">
        <v>920</v>
      </c>
      <c r="F246" s="8" t="s">
        <v>921</v>
      </c>
      <c r="G246" s="8" t="s">
        <v>922</v>
      </c>
      <c r="H246" s="8" t="s">
        <v>923</v>
      </c>
    </row>
    <row r="247">
      <c r="A247" s="3">
        <v>10246.0</v>
      </c>
      <c r="B247" s="8" t="s">
        <v>50</v>
      </c>
      <c r="C247" s="8" t="s">
        <v>51</v>
      </c>
      <c r="D247" s="26" t="s">
        <v>924</v>
      </c>
      <c r="E247" s="8" t="s">
        <v>925</v>
      </c>
      <c r="F247" s="8" t="s">
        <v>926</v>
      </c>
      <c r="G247" s="8" t="s">
        <v>927</v>
      </c>
      <c r="H247" s="8" t="s">
        <v>928</v>
      </c>
    </row>
    <row r="248">
      <c r="A248" s="3">
        <v>10247.0</v>
      </c>
      <c r="B248" s="8" t="s">
        <v>50</v>
      </c>
      <c r="C248" s="8" t="s">
        <v>51</v>
      </c>
      <c r="D248" s="26" t="s">
        <v>864</v>
      </c>
      <c r="E248" s="8" t="s">
        <v>382</v>
      </c>
      <c r="F248" s="8" t="s">
        <v>383</v>
      </c>
      <c r="G248" s="8" t="s">
        <v>929</v>
      </c>
      <c r="H248" s="8" t="s">
        <v>930</v>
      </c>
    </row>
    <row r="249">
      <c r="A249" s="3">
        <v>10248.0</v>
      </c>
      <c r="B249" s="8" t="s">
        <v>50</v>
      </c>
      <c r="C249" s="8" t="s">
        <v>51</v>
      </c>
      <c r="D249" s="11" t="s">
        <v>40</v>
      </c>
      <c r="E249" s="8" t="s">
        <v>931</v>
      </c>
      <c r="F249" s="8" t="s">
        <v>932</v>
      </c>
      <c r="G249" s="8" t="s">
        <v>933</v>
      </c>
      <c r="H249" s="8" t="s">
        <v>934</v>
      </c>
    </row>
    <row r="250">
      <c r="A250" s="3">
        <v>10249.0</v>
      </c>
      <c r="B250" s="8" t="s">
        <v>50</v>
      </c>
      <c r="C250" s="8" t="s">
        <v>51</v>
      </c>
      <c r="D250" s="26" t="s">
        <v>331</v>
      </c>
      <c r="E250" s="8" t="s">
        <v>332</v>
      </c>
      <c r="F250" s="8" t="s">
        <v>331</v>
      </c>
      <c r="G250" s="8" t="s">
        <v>935</v>
      </c>
      <c r="H250" s="8" t="s">
        <v>936</v>
      </c>
    </row>
    <row r="251">
      <c r="A251" s="3">
        <v>10250.0</v>
      </c>
      <c r="B251" s="8" t="s">
        <v>50</v>
      </c>
      <c r="C251" s="8" t="s">
        <v>51</v>
      </c>
      <c r="D251" s="26" t="s">
        <v>574</v>
      </c>
      <c r="E251" s="8" t="s">
        <v>575</v>
      </c>
      <c r="F251" s="8" t="s">
        <v>576</v>
      </c>
      <c r="G251" s="8" t="s">
        <v>937</v>
      </c>
      <c r="H251" s="8" t="s">
        <v>938</v>
      </c>
    </row>
    <row r="252">
      <c r="A252" s="3">
        <v>10251.0</v>
      </c>
      <c r="B252" s="8" t="s">
        <v>50</v>
      </c>
      <c r="C252" s="8" t="s">
        <v>51</v>
      </c>
      <c r="D252" s="26" t="s">
        <v>939</v>
      </c>
      <c r="E252" s="8" t="s">
        <v>940</v>
      </c>
      <c r="F252" s="8" t="s">
        <v>941</v>
      </c>
      <c r="G252" s="8" t="s">
        <v>942</v>
      </c>
      <c r="H252" s="8" t="s">
        <v>943</v>
      </c>
    </row>
    <row r="253">
      <c r="A253" s="3">
        <v>10252.0</v>
      </c>
      <c r="B253" s="8" t="s">
        <v>50</v>
      </c>
      <c r="C253" s="8" t="s">
        <v>51</v>
      </c>
      <c r="D253" s="26" t="s">
        <v>944</v>
      </c>
      <c r="E253" s="8" t="s">
        <v>945</v>
      </c>
      <c r="F253" s="8" t="s">
        <v>946</v>
      </c>
      <c r="G253" s="8" t="s">
        <v>947</v>
      </c>
      <c r="H253" s="8" t="s">
        <v>948</v>
      </c>
    </row>
    <row r="254">
      <c r="A254" s="3">
        <v>10253.0</v>
      </c>
      <c r="B254" s="8" t="s">
        <v>50</v>
      </c>
      <c r="C254" s="8" t="s">
        <v>51</v>
      </c>
      <c r="D254" s="26" t="s">
        <v>542</v>
      </c>
      <c r="E254" s="8" t="s">
        <v>543</v>
      </c>
      <c r="F254" s="8" t="s">
        <v>544</v>
      </c>
      <c r="G254" s="8" t="s">
        <v>949</v>
      </c>
      <c r="H254" s="8" t="s">
        <v>950</v>
      </c>
    </row>
    <row r="255">
      <c r="A255" s="3">
        <v>10254.0</v>
      </c>
      <c r="B255" s="8" t="s">
        <v>50</v>
      </c>
      <c r="C255" s="8" t="s">
        <v>51</v>
      </c>
      <c r="D255" s="26" t="s">
        <v>951</v>
      </c>
      <c r="E255" s="8" t="s">
        <v>952</v>
      </c>
      <c r="F255" s="8" t="s">
        <v>953</v>
      </c>
      <c r="G255" s="8" t="s">
        <v>954</v>
      </c>
      <c r="H255" s="8" t="s">
        <v>955</v>
      </c>
    </row>
    <row r="256">
      <c r="A256" s="3">
        <v>10255.0</v>
      </c>
      <c r="B256" s="8" t="s">
        <v>50</v>
      </c>
      <c r="C256" s="8" t="s">
        <v>51</v>
      </c>
      <c r="D256" s="26" t="s">
        <v>108</v>
      </c>
      <c r="E256" s="8" t="s">
        <v>109</v>
      </c>
      <c r="F256" s="8" t="s">
        <v>110</v>
      </c>
      <c r="G256" s="8" t="s">
        <v>956</v>
      </c>
      <c r="H256" s="8" t="s">
        <v>957</v>
      </c>
    </row>
    <row r="257">
      <c r="A257" s="3">
        <v>10256.0</v>
      </c>
      <c r="B257" s="8" t="s">
        <v>50</v>
      </c>
      <c r="C257" s="8" t="s">
        <v>51</v>
      </c>
      <c r="D257" s="26" t="s">
        <v>616</v>
      </c>
      <c r="E257" s="8" t="s">
        <v>617</v>
      </c>
      <c r="F257" s="8" t="s">
        <v>618</v>
      </c>
      <c r="G257" s="8" t="s">
        <v>958</v>
      </c>
      <c r="H257" s="8" t="s">
        <v>959</v>
      </c>
    </row>
    <row r="258">
      <c r="A258" s="3">
        <v>10257.0</v>
      </c>
      <c r="B258" s="8" t="s">
        <v>50</v>
      </c>
      <c r="C258" s="8" t="s">
        <v>51</v>
      </c>
      <c r="D258" s="26" t="s">
        <v>25</v>
      </c>
      <c r="E258" s="8" t="s">
        <v>26</v>
      </c>
      <c r="F258" s="8" t="s">
        <v>27</v>
      </c>
      <c r="G258" s="8" t="s">
        <v>960</v>
      </c>
      <c r="H258" s="8" t="s">
        <v>961</v>
      </c>
    </row>
    <row r="259">
      <c r="A259" s="3">
        <v>10258.0</v>
      </c>
      <c r="B259" s="8" t="s">
        <v>50</v>
      </c>
      <c r="C259" s="8" t="s">
        <v>51</v>
      </c>
      <c r="D259" s="26" t="s">
        <v>962</v>
      </c>
      <c r="E259" s="8" t="s">
        <v>963</v>
      </c>
      <c r="F259" s="8" t="s">
        <v>964</v>
      </c>
      <c r="G259" s="8" t="s">
        <v>965</v>
      </c>
      <c r="H259" s="8" t="s">
        <v>966</v>
      </c>
    </row>
    <row r="260">
      <c r="A260" s="3">
        <v>10259.0</v>
      </c>
      <c r="B260" s="8" t="s">
        <v>50</v>
      </c>
      <c r="C260" s="8" t="s">
        <v>51</v>
      </c>
      <c r="D260" s="26" t="s">
        <v>967</v>
      </c>
      <c r="E260" s="8" t="s">
        <v>968</v>
      </c>
      <c r="F260" s="8" t="s">
        <v>969</v>
      </c>
      <c r="G260" s="8" t="s">
        <v>970</v>
      </c>
      <c r="H260" s="8" t="s">
        <v>971</v>
      </c>
    </row>
    <row r="261">
      <c r="A261" s="3">
        <v>10260.0</v>
      </c>
      <c r="B261" s="8" t="s">
        <v>50</v>
      </c>
      <c r="C261" s="8" t="s">
        <v>51</v>
      </c>
      <c r="D261" s="26" t="s">
        <v>579</v>
      </c>
      <c r="E261" s="8" t="s">
        <v>580</v>
      </c>
      <c r="F261" s="8" t="s">
        <v>581</v>
      </c>
      <c r="G261" s="8" t="s">
        <v>972</v>
      </c>
      <c r="H261" s="8" t="s">
        <v>973</v>
      </c>
    </row>
    <row r="262">
      <c r="A262" s="3">
        <v>10261.0</v>
      </c>
      <c r="B262" s="8" t="s">
        <v>302</v>
      </c>
      <c r="C262" s="8" t="s">
        <v>303</v>
      </c>
      <c r="D262" s="26" t="s">
        <v>62</v>
      </c>
      <c r="E262" s="8" t="s">
        <v>63</v>
      </c>
      <c r="F262" s="8" t="s">
        <v>64</v>
      </c>
      <c r="G262" s="8" t="s">
        <v>974</v>
      </c>
      <c r="H262" s="8" t="s">
        <v>975</v>
      </c>
    </row>
    <row r="263">
      <c r="A263" s="3">
        <v>10262.0</v>
      </c>
      <c r="B263" s="8" t="s">
        <v>302</v>
      </c>
      <c r="C263" s="8" t="s">
        <v>303</v>
      </c>
      <c r="D263" s="26" t="s">
        <v>371</v>
      </c>
      <c r="E263" s="8" t="s">
        <v>372</v>
      </c>
      <c r="F263" s="8" t="s">
        <v>373</v>
      </c>
      <c r="G263" s="8" t="s">
        <v>976</v>
      </c>
      <c r="H263" s="8" t="s">
        <v>977</v>
      </c>
    </row>
    <row r="264">
      <c r="A264" s="3">
        <v>10263.0</v>
      </c>
      <c r="B264" s="8" t="s">
        <v>302</v>
      </c>
      <c r="C264" s="8" t="s">
        <v>303</v>
      </c>
      <c r="D264" s="26" t="s">
        <v>513</v>
      </c>
      <c r="E264" s="8" t="s">
        <v>514</v>
      </c>
      <c r="F264" s="8" t="s">
        <v>515</v>
      </c>
      <c r="G264" s="8" t="s">
        <v>978</v>
      </c>
      <c r="H264" s="8" t="s">
        <v>979</v>
      </c>
    </row>
    <row r="265">
      <c r="A265" s="3">
        <v>10264.0</v>
      </c>
      <c r="B265" s="8" t="s">
        <v>302</v>
      </c>
      <c r="C265" s="8" t="s">
        <v>303</v>
      </c>
      <c r="D265" s="26" t="s">
        <v>290</v>
      </c>
      <c r="E265" s="8" t="s">
        <v>291</v>
      </c>
      <c r="F265" s="8" t="s">
        <v>292</v>
      </c>
      <c r="G265" s="8" t="s">
        <v>980</v>
      </c>
      <c r="H265" s="8" t="s">
        <v>981</v>
      </c>
    </row>
    <row r="266">
      <c r="A266" s="3">
        <v>10265.0</v>
      </c>
      <c r="B266" s="8" t="s">
        <v>302</v>
      </c>
      <c r="C266" s="8" t="s">
        <v>303</v>
      </c>
      <c r="D266" s="26" t="s">
        <v>648</v>
      </c>
      <c r="E266" s="8" t="s">
        <v>649</v>
      </c>
      <c r="F266" s="8" t="s">
        <v>648</v>
      </c>
      <c r="G266" s="8" t="s">
        <v>982</v>
      </c>
      <c r="H266" s="8" t="s">
        <v>983</v>
      </c>
    </row>
    <row r="267">
      <c r="A267" s="3">
        <v>10266.0</v>
      </c>
      <c r="B267" s="8" t="s">
        <v>302</v>
      </c>
      <c r="C267" s="8" t="s">
        <v>303</v>
      </c>
      <c r="D267" s="26" t="s">
        <v>984</v>
      </c>
      <c r="E267" s="8" t="s">
        <v>985</v>
      </c>
      <c r="F267" s="8" t="s">
        <v>986</v>
      </c>
      <c r="G267" s="8" t="s">
        <v>987</v>
      </c>
      <c r="H267" s="8" t="s">
        <v>988</v>
      </c>
    </row>
    <row r="268">
      <c r="A268" s="3">
        <v>10267.0</v>
      </c>
      <c r="B268" s="8" t="s">
        <v>302</v>
      </c>
      <c r="C268" s="8" t="s">
        <v>303</v>
      </c>
      <c r="D268" s="26" t="s">
        <v>101</v>
      </c>
      <c r="E268" s="8" t="s">
        <v>989</v>
      </c>
      <c r="F268" s="8" t="s">
        <v>990</v>
      </c>
      <c r="G268" s="8" t="s">
        <v>991</v>
      </c>
      <c r="H268" s="8" t="s">
        <v>992</v>
      </c>
    </row>
    <row r="269">
      <c r="A269" s="3">
        <v>10268.0</v>
      </c>
      <c r="B269" s="8" t="s">
        <v>302</v>
      </c>
      <c r="C269" s="8" t="s">
        <v>303</v>
      </c>
      <c r="D269" s="26" t="s">
        <v>993</v>
      </c>
      <c r="E269" s="8" t="s">
        <v>994</v>
      </c>
      <c r="F269" s="8" t="s">
        <v>995</v>
      </c>
      <c r="G269" s="8" t="s">
        <v>996</v>
      </c>
      <c r="H269" s="8" t="s">
        <v>997</v>
      </c>
    </row>
    <row r="270">
      <c r="A270" s="3">
        <v>10269.0</v>
      </c>
      <c r="B270" s="8" t="s">
        <v>302</v>
      </c>
      <c r="C270" s="8" t="s">
        <v>303</v>
      </c>
      <c r="D270" s="26" t="s">
        <v>331</v>
      </c>
      <c r="E270" s="8" t="s">
        <v>332</v>
      </c>
      <c r="F270" s="8" t="s">
        <v>331</v>
      </c>
      <c r="G270" s="8" t="s">
        <v>998</v>
      </c>
      <c r="H270" s="8" t="s">
        <v>999</v>
      </c>
    </row>
    <row r="271">
      <c r="A271" s="3">
        <v>10270.0</v>
      </c>
      <c r="B271" s="8" t="s">
        <v>302</v>
      </c>
      <c r="C271" s="8" t="s">
        <v>303</v>
      </c>
      <c r="D271" s="26" t="s">
        <v>366</v>
      </c>
      <c r="E271" s="8" t="s">
        <v>367</v>
      </c>
      <c r="F271" s="8" t="s">
        <v>368</v>
      </c>
      <c r="G271" s="8" t="s">
        <v>1000</v>
      </c>
      <c r="H271" s="8" t="s">
        <v>1001</v>
      </c>
    </row>
    <row r="272">
      <c r="A272" s="3">
        <v>10271.0</v>
      </c>
      <c r="B272" s="8" t="s">
        <v>302</v>
      </c>
      <c r="C272" s="8" t="s">
        <v>303</v>
      </c>
      <c r="D272" s="26" t="s">
        <v>399</v>
      </c>
      <c r="E272" s="8" t="s">
        <v>400</v>
      </c>
      <c r="F272" s="8" t="s">
        <v>399</v>
      </c>
      <c r="G272" s="8" t="s">
        <v>1002</v>
      </c>
      <c r="H272" s="8" t="s">
        <v>1003</v>
      </c>
    </row>
    <row r="273">
      <c r="A273" s="3">
        <v>10272.0</v>
      </c>
      <c r="B273" s="8" t="s">
        <v>302</v>
      </c>
      <c r="C273" s="8" t="s">
        <v>303</v>
      </c>
      <c r="D273" s="26" t="s">
        <v>72</v>
      </c>
      <c r="E273" s="8" t="s">
        <v>73</v>
      </c>
      <c r="F273" s="8" t="s">
        <v>74</v>
      </c>
      <c r="G273" s="8" t="s">
        <v>1004</v>
      </c>
      <c r="H273" s="8" t="s">
        <v>1005</v>
      </c>
    </row>
    <row r="274">
      <c r="A274" s="3">
        <v>10273.0</v>
      </c>
      <c r="B274" s="8" t="s">
        <v>302</v>
      </c>
      <c r="C274" s="8" t="s">
        <v>303</v>
      </c>
      <c r="D274" s="26" t="s">
        <v>376</v>
      </c>
      <c r="E274" s="8" t="s">
        <v>377</v>
      </c>
      <c r="F274" s="8" t="s">
        <v>378</v>
      </c>
      <c r="G274" s="8" t="s">
        <v>1006</v>
      </c>
      <c r="H274" s="8" t="s">
        <v>1007</v>
      </c>
    </row>
    <row r="275">
      <c r="A275" s="3">
        <v>10274.0</v>
      </c>
      <c r="B275" s="8" t="s">
        <v>302</v>
      </c>
      <c r="C275" s="8" t="s">
        <v>303</v>
      </c>
      <c r="D275" s="26" t="s">
        <v>484</v>
      </c>
      <c r="E275" s="8" t="s">
        <v>485</v>
      </c>
      <c r="F275" s="8" t="s">
        <v>484</v>
      </c>
      <c r="G275" s="8" t="s">
        <v>1008</v>
      </c>
      <c r="H275" s="8" t="s">
        <v>1009</v>
      </c>
    </row>
    <row r="276">
      <c r="A276" s="3">
        <v>10275.0</v>
      </c>
      <c r="B276" s="8" t="s">
        <v>302</v>
      </c>
      <c r="C276" s="8" t="s">
        <v>303</v>
      </c>
      <c r="D276" s="26" t="s">
        <v>1010</v>
      </c>
      <c r="E276" s="8" t="s">
        <v>1011</v>
      </c>
      <c r="F276" s="8" t="s">
        <v>1012</v>
      </c>
      <c r="G276" s="8" t="s">
        <v>1013</v>
      </c>
      <c r="H276" s="8" t="s">
        <v>1014</v>
      </c>
    </row>
    <row r="277">
      <c r="A277" s="3">
        <v>10276.0</v>
      </c>
      <c r="B277" s="8" t="s">
        <v>308</v>
      </c>
      <c r="C277" s="8" t="s">
        <v>309</v>
      </c>
      <c r="D277" s="26" t="s">
        <v>423</v>
      </c>
      <c r="E277" s="8" t="s">
        <v>424</v>
      </c>
      <c r="F277" s="8" t="s">
        <v>425</v>
      </c>
      <c r="G277" s="8" t="s">
        <v>1015</v>
      </c>
      <c r="H277" s="8" t="s">
        <v>1016</v>
      </c>
    </row>
    <row r="278">
      <c r="A278" s="3">
        <v>10277.0</v>
      </c>
      <c r="B278" s="8" t="s">
        <v>308</v>
      </c>
      <c r="C278" s="8" t="s">
        <v>309</v>
      </c>
      <c r="D278" s="26" t="s">
        <v>430</v>
      </c>
      <c r="E278" s="8" t="s">
        <v>431</v>
      </c>
      <c r="F278" s="8" t="s">
        <v>432</v>
      </c>
      <c r="G278" s="8" t="s">
        <v>1017</v>
      </c>
      <c r="H278" s="8" t="s">
        <v>1018</v>
      </c>
    </row>
    <row r="279">
      <c r="A279" s="3">
        <v>10278.0</v>
      </c>
      <c r="B279" s="8" t="s">
        <v>308</v>
      </c>
      <c r="C279" s="8" t="s">
        <v>309</v>
      </c>
      <c r="D279" s="26" t="s">
        <v>403</v>
      </c>
      <c r="E279" s="8" t="s">
        <v>404</v>
      </c>
      <c r="F279" s="8" t="s">
        <v>405</v>
      </c>
      <c r="G279" s="8" t="s">
        <v>1019</v>
      </c>
      <c r="H279" s="8" t="s">
        <v>1020</v>
      </c>
    </row>
    <row r="280">
      <c r="A280" s="3">
        <v>10279.0</v>
      </c>
      <c r="B280" s="8" t="s">
        <v>308</v>
      </c>
      <c r="C280" s="8" t="s">
        <v>309</v>
      </c>
      <c r="D280" s="26" t="s">
        <v>213</v>
      </c>
      <c r="E280" s="8" t="s">
        <v>214</v>
      </c>
      <c r="F280" s="8" t="s">
        <v>215</v>
      </c>
      <c r="G280" s="8" t="s">
        <v>1021</v>
      </c>
      <c r="H280" s="8" t="s">
        <v>1022</v>
      </c>
    </row>
    <row r="281">
      <c r="A281" s="3">
        <v>10280.0</v>
      </c>
      <c r="B281" s="8" t="s">
        <v>308</v>
      </c>
      <c r="C281" s="8" t="s">
        <v>309</v>
      </c>
      <c r="D281" s="26" t="s">
        <v>1023</v>
      </c>
      <c r="E281" s="8" t="s">
        <v>1024</v>
      </c>
      <c r="F281" s="8" t="s">
        <v>1025</v>
      </c>
      <c r="G281" s="8" t="s">
        <v>1026</v>
      </c>
      <c r="H281" s="8" t="s">
        <v>1027</v>
      </c>
    </row>
    <row r="282">
      <c r="A282" s="3">
        <v>10281.0</v>
      </c>
      <c r="B282" s="8" t="s">
        <v>308</v>
      </c>
      <c r="C282" s="8" t="s">
        <v>309</v>
      </c>
      <c r="D282" s="26" t="s">
        <v>1028</v>
      </c>
      <c r="E282" s="8" t="s">
        <v>1029</v>
      </c>
      <c r="F282" s="8" t="s">
        <v>1030</v>
      </c>
      <c r="G282" s="8" t="s">
        <v>1031</v>
      </c>
      <c r="H282" s="8" t="s">
        <v>1032</v>
      </c>
    </row>
    <row r="283">
      <c r="A283" s="3">
        <v>10282.0</v>
      </c>
      <c r="B283" s="8" t="s">
        <v>308</v>
      </c>
      <c r="C283" s="8" t="s">
        <v>309</v>
      </c>
      <c r="D283" s="26" t="s">
        <v>268</v>
      </c>
      <c r="E283" s="8" t="s">
        <v>269</v>
      </c>
      <c r="F283" s="8" t="s">
        <v>270</v>
      </c>
      <c r="G283" s="8" t="s">
        <v>1033</v>
      </c>
      <c r="H283" s="8" t="s">
        <v>1034</v>
      </c>
    </row>
    <row r="284">
      <c r="A284" s="3">
        <v>10283.0</v>
      </c>
      <c r="B284" s="8" t="s">
        <v>308</v>
      </c>
      <c r="C284" s="8" t="s">
        <v>309</v>
      </c>
      <c r="D284" s="26" t="s">
        <v>388</v>
      </c>
      <c r="E284" s="8" t="s">
        <v>389</v>
      </c>
      <c r="F284" s="8" t="s">
        <v>390</v>
      </c>
      <c r="G284" s="8" t="s">
        <v>1035</v>
      </c>
      <c r="H284" s="8" t="s">
        <v>1036</v>
      </c>
    </row>
    <row r="285">
      <c r="A285" s="3">
        <v>10284.0</v>
      </c>
      <c r="B285" s="8" t="s">
        <v>308</v>
      </c>
      <c r="C285" s="8" t="s">
        <v>309</v>
      </c>
      <c r="D285" s="26" t="s">
        <v>1037</v>
      </c>
      <c r="E285" s="8" t="s">
        <v>1038</v>
      </c>
      <c r="F285" s="8" t="s">
        <v>1039</v>
      </c>
      <c r="G285" s="8" t="s">
        <v>1040</v>
      </c>
      <c r="H285" s="8" t="s">
        <v>1041</v>
      </c>
    </row>
    <row r="286">
      <c r="A286" s="3">
        <v>10285.0</v>
      </c>
      <c r="B286" s="8" t="s">
        <v>308</v>
      </c>
      <c r="C286" s="8" t="s">
        <v>309</v>
      </c>
      <c r="D286" s="26" t="s">
        <v>1042</v>
      </c>
      <c r="E286" s="8" t="s">
        <v>1043</v>
      </c>
      <c r="F286" s="8" t="s">
        <v>1044</v>
      </c>
      <c r="G286" s="8" t="s">
        <v>1045</v>
      </c>
      <c r="H286" s="8" t="s">
        <v>1046</v>
      </c>
    </row>
    <row r="287">
      <c r="A287" s="3">
        <v>10286.0</v>
      </c>
      <c r="B287" s="8" t="s">
        <v>308</v>
      </c>
      <c r="C287" s="8" t="s">
        <v>309</v>
      </c>
      <c r="D287" s="26" t="s">
        <v>128</v>
      </c>
      <c r="E287" s="8" t="s">
        <v>129</v>
      </c>
      <c r="F287" s="8" t="s">
        <v>130</v>
      </c>
      <c r="G287" s="8" t="s">
        <v>1047</v>
      </c>
      <c r="H287" s="8" t="s">
        <v>1048</v>
      </c>
    </row>
    <row r="288">
      <c r="A288" s="3">
        <v>10287.0</v>
      </c>
      <c r="B288" s="8" t="s">
        <v>308</v>
      </c>
      <c r="C288" s="8" t="s">
        <v>309</v>
      </c>
      <c r="D288" s="26" t="s">
        <v>1049</v>
      </c>
      <c r="E288" s="8" t="s">
        <v>1050</v>
      </c>
      <c r="F288" s="8" t="s">
        <v>1051</v>
      </c>
      <c r="G288" s="8" t="s">
        <v>1052</v>
      </c>
      <c r="H288" s="8" t="s">
        <v>1053</v>
      </c>
    </row>
    <row r="289">
      <c r="A289" s="3">
        <v>10288.0</v>
      </c>
      <c r="B289" s="8" t="s">
        <v>308</v>
      </c>
      <c r="C289" s="8" t="s">
        <v>309</v>
      </c>
      <c r="D289" s="26" t="s">
        <v>1054</v>
      </c>
      <c r="E289" s="8" t="s">
        <v>1055</v>
      </c>
      <c r="F289" s="8" t="s">
        <v>1056</v>
      </c>
      <c r="G289" s="8" t="s">
        <v>1057</v>
      </c>
      <c r="H289" s="8" t="s">
        <v>1058</v>
      </c>
    </row>
    <row r="290">
      <c r="A290" s="3">
        <v>10289.0</v>
      </c>
      <c r="B290" s="8" t="s">
        <v>308</v>
      </c>
      <c r="C290" s="8" t="s">
        <v>309</v>
      </c>
      <c r="D290" s="26" t="s">
        <v>1059</v>
      </c>
      <c r="E290" s="8" t="s">
        <v>1060</v>
      </c>
      <c r="F290" s="8" t="s">
        <v>1061</v>
      </c>
      <c r="G290" s="8" t="s">
        <v>1062</v>
      </c>
      <c r="H290" s="8" t="s">
        <v>1063</v>
      </c>
    </row>
    <row r="291">
      <c r="A291" s="3">
        <v>10290.0</v>
      </c>
      <c r="B291" s="8" t="s">
        <v>308</v>
      </c>
      <c r="C291" s="8" t="s">
        <v>309</v>
      </c>
      <c r="D291" s="26" t="s">
        <v>1064</v>
      </c>
      <c r="E291" s="8" t="s">
        <v>1065</v>
      </c>
      <c r="F291" s="8" t="s">
        <v>1066</v>
      </c>
      <c r="G291" s="8" t="s">
        <v>1067</v>
      </c>
      <c r="H291" s="8" t="s">
        <v>1068</v>
      </c>
    </row>
    <row r="292">
      <c r="A292" s="3">
        <v>10291.0</v>
      </c>
      <c r="B292" s="8" t="s">
        <v>312</v>
      </c>
      <c r="C292" s="8" t="s">
        <v>313</v>
      </c>
      <c r="D292" s="26" t="s">
        <v>45</v>
      </c>
      <c r="E292" s="8" t="s">
        <v>46</v>
      </c>
      <c r="F292" s="8" t="s">
        <v>47</v>
      </c>
      <c r="G292" s="8" t="s">
        <v>1069</v>
      </c>
      <c r="H292" s="8" t="s">
        <v>1070</v>
      </c>
    </row>
    <row r="293">
      <c r="A293" s="3">
        <v>10292.0</v>
      </c>
      <c r="B293" s="8" t="s">
        <v>312</v>
      </c>
      <c r="C293" s="8" t="s">
        <v>313</v>
      </c>
      <c r="D293" s="26" t="s">
        <v>376</v>
      </c>
      <c r="E293" s="8" t="s">
        <v>377</v>
      </c>
      <c r="F293" s="8" t="s">
        <v>378</v>
      </c>
      <c r="G293" s="8" t="s">
        <v>1071</v>
      </c>
      <c r="H293" s="8" t="s">
        <v>1072</v>
      </c>
    </row>
    <row r="294">
      <c r="A294" s="3">
        <v>10293.0</v>
      </c>
      <c r="B294" s="8" t="s">
        <v>312</v>
      </c>
      <c r="C294" s="8" t="s">
        <v>313</v>
      </c>
      <c r="D294" s="26" t="s">
        <v>96</v>
      </c>
      <c r="E294" s="8" t="s">
        <v>97</v>
      </c>
      <c r="F294" s="8" t="s">
        <v>98</v>
      </c>
      <c r="G294" s="8" t="s">
        <v>1073</v>
      </c>
      <c r="H294" s="8" t="s">
        <v>1074</v>
      </c>
    </row>
    <row r="295">
      <c r="A295" s="3">
        <v>10294.0</v>
      </c>
      <c r="B295" s="8" t="s">
        <v>312</v>
      </c>
      <c r="C295" s="8" t="s">
        <v>313</v>
      </c>
      <c r="D295" s="26" t="s">
        <v>452</v>
      </c>
      <c r="E295" s="8" t="s">
        <v>453</v>
      </c>
      <c r="F295" s="8" t="s">
        <v>454</v>
      </c>
      <c r="G295" s="8" t="s">
        <v>1075</v>
      </c>
      <c r="H295" s="8" t="s">
        <v>1076</v>
      </c>
    </row>
    <row r="296">
      <c r="A296" s="3">
        <v>10295.0</v>
      </c>
      <c r="B296" s="8" t="s">
        <v>312</v>
      </c>
      <c r="C296" s="8" t="s">
        <v>313</v>
      </c>
      <c r="D296" s="26" t="s">
        <v>108</v>
      </c>
      <c r="E296" s="8" t="s">
        <v>109</v>
      </c>
      <c r="F296" s="8" t="s">
        <v>110</v>
      </c>
      <c r="G296" s="8" t="s">
        <v>1077</v>
      </c>
      <c r="H296" s="8" t="s">
        <v>1078</v>
      </c>
    </row>
    <row r="297">
      <c r="A297" s="3">
        <v>10296.0</v>
      </c>
      <c r="B297" s="8" t="s">
        <v>312</v>
      </c>
      <c r="C297" s="8" t="s">
        <v>313</v>
      </c>
      <c r="D297" s="26" t="s">
        <v>1079</v>
      </c>
      <c r="E297" s="8" t="s">
        <v>1080</v>
      </c>
      <c r="F297" s="8" t="s">
        <v>1081</v>
      </c>
      <c r="G297" s="8" t="s">
        <v>1082</v>
      </c>
      <c r="H297" s="8" t="s">
        <v>1083</v>
      </c>
    </row>
    <row r="298">
      <c r="A298" s="3">
        <v>10297.0</v>
      </c>
      <c r="B298" s="8" t="s">
        <v>312</v>
      </c>
      <c r="C298" s="8" t="s">
        <v>313</v>
      </c>
      <c r="D298" s="26" t="s">
        <v>1084</v>
      </c>
      <c r="E298" s="8" t="s">
        <v>1085</v>
      </c>
      <c r="F298" s="8" t="s">
        <v>1084</v>
      </c>
      <c r="G298" s="8" t="s">
        <v>1086</v>
      </c>
      <c r="H298" s="8" t="s">
        <v>1087</v>
      </c>
    </row>
    <row r="299">
      <c r="A299" s="3">
        <v>10298.0</v>
      </c>
      <c r="B299" s="8" t="s">
        <v>312</v>
      </c>
      <c r="C299" s="8" t="s">
        <v>313</v>
      </c>
      <c r="D299" s="26" t="s">
        <v>756</v>
      </c>
      <c r="E299" s="8" t="s">
        <v>757</v>
      </c>
      <c r="F299" s="8" t="s">
        <v>758</v>
      </c>
      <c r="G299" s="8" t="s">
        <v>1088</v>
      </c>
      <c r="H299" s="8" t="s">
        <v>1089</v>
      </c>
    </row>
    <row r="300">
      <c r="A300" s="3">
        <v>10299.0</v>
      </c>
      <c r="B300" s="8" t="s">
        <v>312</v>
      </c>
      <c r="C300" s="8" t="s">
        <v>313</v>
      </c>
      <c r="D300" s="26" t="s">
        <v>1090</v>
      </c>
      <c r="E300" s="8" t="s">
        <v>1091</v>
      </c>
      <c r="F300" s="8" t="s">
        <v>1092</v>
      </c>
      <c r="G300" s="8" t="s">
        <v>1093</v>
      </c>
      <c r="H300" s="8" t="s">
        <v>1094</v>
      </c>
    </row>
    <row r="301">
      <c r="A301" s="3">
        <v>10300.0</v>
      </c>
      <c r="B301" s="8" t="s">
        <v>312</v>
      </c>
      <c r="C301" s="8" t="s">
        <v>313</v>
      </c>
      <c r="D301" s="26" t="s">
        <v>1095</v>
      </c>
      <c r="E301" s="8" t="s">
        <v>1096</v>
      </c>
      <c r="F301" s="8" t="s">
        <v>1097</v>
      </c>
      <c r="G301" s="8" t="s">
        <v>1098</v>
      </c>
      <c r="H301" s="8" t="s">
        <v>1099</v>
      </c>
    </row>
    <row r="302">
      <c r="A302" s="3">
        <v>10301.0</v>
      </c>
      <c r="B302" s="8" t="s">
        <v>312</v>
      </c>
      <c r="C302" s="8" t="s">
        <v>313</v>
      </c>
      <c r="D302" s="26" t="s">
        <v>1100</v>
      </c>
      <c r="E302" s="8" t="s">
        <v>1101</v>
      </c>
      <c r="F302" s="8" t="s">
        <v>1102</v>
      </c>
      <c r="G302" s="8" t="s">
        <v>1103</v>
      </c>
      <c r="H302" s="8" t="s">
        <v>1104</v>
      </c>
    </row>
    <row r="303">
      <c r="A303" s="3">
        <v>10302.0</v>
      </c>
      <c r="B303" s="8" t="s">
        <v>312</v>
      </c>
      <c r="C303" s="8" t="s">
        <v>313</v>
      </c>
      <c r="D303" s="26" t="s">
        <v>20</v>
      </c>
      <c r="E303" s="8" t="s">
        <v>21</v>
      </c>
      <c r="F303" s="8" t="s">
        <v>22</v>
      </c>
      <c r="G303" s="8" t="s">
        <v>1105</v>
      </c>
      <c r="H303" s="8" t="s">
        <v>1106</v>
      </c>
    </row>
    <row r="304">
      <c r="A304" s="3">
        <v>10303.0</v>
      </c>
      <c r="B304" s="8" t="s">
        <v>312</v>
      </c>
      <c r="C304" s="8" t="s">
        <v>313</v>
      </c>
      <c r="D304" s="26" t="s">
        <v>30</v>
      </c>
      <c r="E304" s="8" t="s">
        <v>31</v>
      </c>
      <c r="F304" s="8" t="s">
        <v>32</v>
      </c>
      <c r="G304" s="8" t="s">
        <v>1107</v>
      </c>
      <c r="H304" s="8" t="s">
        <v>1108</v>
      </c>
    </row>
    <row r="305">
      <c r="A305" s="3">
        <v>10304.0</v>
      </c>
      <c r="B305" s="8" t="s">
        <v>312</v>
      </c>
      <c r="C305" s="8" t="s">
        <v>313</v>
      </c>
      <c r="D305" s="26" t="s">
        <v>1109</v>
      </c>
      <c r="E305" s="8" t="s">
        <v>1110</v>
      </c>
      <c r="F305" s="8" t="s">
        <v>1111</v>
      </c>
      <c r="G305" s="8" t="s">
        <v>1112</v>
      </c>
      <c r="H305" s="8" t="s">
        <v>1113</v>
      </c>
    </row>
    <row r="306">
      <c r="A306" s="3">
        <v>10305.0</v>
      </c>
      <c r="B306" s="8" t="s">
        <v>312</v>
      </c>
      <c r="C306" s="8" t="s">
        <v>313</v>
      </c>
      <c r="D306" s="26" t="s">
        <v>1114</v>
      </c>
      <c r="E306" s="8" t="s">
        <v>1115</v>
      </c>
      <c r="F306" s="8" t="s">
        <v>1116</v>
      </c>
      <c r="G306" s="8" t="s">
        <v>1117</v>
      </c>
      <c r="H306" s="8" t="s">
        <v>1118</v>
      </c>
    </row>
    <row r="307">
      <c r="A307" s="3">
        <v>10306.0</v>
      </c>
      <c r="B307" s="8" t="s">
        <v>295</v>
      </c>
      <c r="C307" s="8" t="s">
        <v>296</v>
      </c>
      <c r="D307" s="26" t="s">
        <v>304</v>
      </c>
      <c r="E307" s="8" t="s">
        <v>305</v>
      </c>
      <c r="F307" s="8" t="s">
        <v>304</v>
      </c>
      <c r="G307" s="8" t="s">
        <v>1119</v>
      </c>
      <c r="H307" s="8" t="s">
        <v>1120</v>
      </c>
    </row>
    <row r="308">
      <c r="A308" s="3">
        <v>10307.0</v>
      </c>
      <c r="B308" s="8" t="s">
        <v>295</v>
      </c>
      <c r="C308" s="8" t="s">
        <v>296</v>
      </c>
      <c r="D308" s="26" t="s">
        <v>1121</v>
      </c>
      <c r="E308" s="8" t="s">
        <v>1122</v>
      </c>
      <c r="F308" s="8" t="s">
        <v>1123</v>
      </c>
      <c r="G308" s="8" t="s">
        <v>1124</v>
      </c>
      <c r="H308" s="8" t="s">
        <v>1125</v>
      </c>
    </row>
    <row r="309">
      <c r="A309" s="3">
        <v>10308.0</v>
      </c>
      <c r="B309" s="8" t="s">
        <v>295</v>
      </c>
      <c r="C309" s="8" t="s">
        <v>296</v>
      </c>
      <c r="D309" s="26" t="s">
        <v>316</v>
      </c>
      <c r="E309" s="8" t="s">
        <v>317</v>
      </c>
      <c r="F309" s="8" t="s">
        <v>318</v>
      </c>
      <c r="G309" s="8" t="s">
        <v>1126</v>
      </c>
      <c r="H309" s="8" t="s">
        <v>1127</v>
      </c>
    </row>
    <row r="310">
      <c r="A310" s="3">
        <v>10309.0</v>
      </c>
      <c r="B310" s="8" t="s">
        <v>295</v>
      </c>
      <c r="C310" s="8" t="s">
        <v>296</v>
      </c>
      <c r="D310" s="26" t="s">
        <v>327</v>
      </c>
      <c r="E310" s="8" t="s">
        <v>328</v>
      </c>
      <c r="F310" s="8" t="s">
        <v>327</v>
      </c>
      <c r="G310" s="8" t="s">
        <v>1128</v>
      </c>
      <c r="H310" s="8" t="s">
        <v>1129</v>
      </c>
    </row>
    <row r="311">
      <c r="A311" s="3">
        <v>10310.0</v>
      </c>
      <c r="B311" s="8" t="s">
        <v>295</v>
      </c>
      <c r="C311" s="8" t="s">
        <v>296</v>
      </c>
      <c r="D311" s="11" t="s">
        <v>465</v>
      </c>
      <c r="E311" s="8" t="s">
        <v>466</v>
      </c>
      <c r="F311" s="8" t="s">
        <v>467</v>
      </c>
      <c r="G311" s="8" t="s">
        <v>1130</v>
      </c>
      <c r="H311" s="8" t="s">
        <v>1131</v>
      </c>
    </row>
    <row r="312">
      <c r="A312" s="3">
        <v>10311.0</v>
      </c>
      <c r="B312" s="8" t="s">
        <v>295</v>
      </c>
      <c r="C312" s="8" t="s">
        <v>296</v>
      </c>
      <c r="D312" s="26" t="s">
        <v>108</v>
      </c>
      <c r="E312" s="8" t="s">
        <v>109</v>
      </c>
      <c r="F312" s="8" t="s">
        <v>110</v>
      </c>
      <c r="G312" s="8" t="s">
        <v>1132</v>
      </c>
      <c r="H312" s="8" t="s">
        <v>1133</v>
      </c>
    </row>
    <row r="313">
      <c r="A313" s="3">
        <v>10312.0</v>
      </c>
      <c r="B313" s="8" t="s">
        <v>295</v>
      </c>
      <c r="C313" s="8" t="s">
        <v>296</v>
      </c>
      <c r="D313" s="26" t="s">
        <v>263</v>
      </c>
      <c r="E313" s="8" t="s">
        <v>264</v>
      </c>
      <c r="F313" s="8" t="s">
        <v>265</v>
      </c>
      <c r="G313" s="8" t="s">
        <v>1134</v>
      </c>
      <c r="H313" s="8" t="s">
        <v>1135</v>
      </c>
    </row>
    <row r="314">
      <c r="A314" s="3">
        <v>10313.0</v>
      </c>
      <c r="B314" s="8" t="s">
        <v>295</v>
      </c>
      <c r="C314" s="8" t="s">
        <v>296</v>
      </c>
      <c r="D314" s="26" t="s">
        <v>1136</v>
      </c>
      <c r="E314" s="8" t="s">
        <v>1137</v>
      </c>
      <c r="F314" s="8" t="s">
        <v>1138</v>
      </c>
      <c r="G314" s="8" t="s">
        <v>1139</v>
      </c>
      <c r="H314" s="8" t="s">
        <v>1140</v>
      </c>
    </row>
    <row r="315">
      <c r="A315" s="3">
        <v>10314.0</v>
      </c>
      <c r="B315" s="8" t="s">
        <v>295</v>
      </c>
      <c r="C315" s="8" t="s">
        <v>296</v>
      </c>
      <c r="D315" s="26" t="s">
        <v>1141</v>
      </c>
      <c r="E315" s="8" t="s">
        <v>1142</v>
      </c>
      <c r="F315" s="8" t="s">
        <v>1143</v>
      </c>
      <c r="G315" s="8" t="s">
        <v>1144</v>
      </c>
      <c r="H315" s="8" t="s">
        <v>1145</v>
      </c>
    </row>
    <row r="316">
      <c r="A316" s="3">
        <v>10315.0</v>
      </c>
      <c r="B316" s="8" t="s">
        <v>295</v>
      </c>
      <c r="C316" s="8" t="s">
        <v>296</v>
      </c>
      <c r="D316" s="26" t="s">
        <v>178</v>
      </c>
      <c r="E316" s="8" t="s">
        <v>179</v>
      </c>
      <c r="F316" s="8" t="s">
        <v>178</v>
      </c>
      <c r="G316" s="8" t="s">
        <v>1146</v>
      </c>
      <c r="H316" s="8" t="s">
        <v>1147</v>
      </c>
    </row>
    <row r="317">
      <c r="A317" s="3">
        <v>10316.0</v>
      </c>
      <c r="B317" s="8" t="s">
        <v>295</v>
      </c>
      <c r="C317" s="8" t="s">
        <v>296</v>
      </c>
      <c r="D317" s="26" t="s">
        <v>1148</v>
      </c>
      <c r="E317" s="8" t="s">
        <v>1149</v>
      </c>
      <c r="F317" s="8" t="s">
        <v>1150</v>
      </c>
      <c r="G317" s="8" t="s">
        <v>1151</v>
      </c>
      <c r="H317" s="8" t="s">
        <v>1152</v>
      </c>
    </row>
    <row r="318">
      <c r="A318" s="3">
        <v>10317.0</v>
      </c>
      <c r="B318" s="8" t="s">
        <v>295</v>
      </c>
      <c r="C318" s="8" t="s">
        <v>296</v>
      </c>
      <c r="D318" s="26" t="s">
        <v>25</v>
      </c>
      <c r="E318" s="8" t="s">
        <v>26</v>
      </c>
      <c r="F318" s="8" t="s">
        <v>27</v>
      </c>
      <c r="G318" s="8" t="s">
        <v>1153</v>
      </c>
      <c r="H318" s="8" t="s">
        <v>1154</v>
      </c>
    </row>
    <row r="319">
      <c r="A319" s="3">
        <v>10318.0</v>
      </c>
      <c r="B319" s="8" t="s">
        <v>295</v>
      </c>
      <c r="C319" s="8" t="s">
        <v>296</v>
      </c>
      <c r="D319" s="26" t="s">
        <v>342</v>
      </c>
      <c r="E319" s="8" t="s">
        <v>343</v>
      </c>
      <c r="F319" s="8" t="s">
        <v>344</v>
      </c>
      <c r="G319" s="8" t="s">
        <v>1155</v>
      </c>
      <c r="H319" s="8" t="s">
        <v>1156</v>
      </c>
    </row>
    <row r="320">
      <c r="A320" s="3">
        <v>10319.0</v>
      </c>
      <c r="B320" s="8" t="s">
        <v>295</v>
      </c>
      <c r="C320" s="8" t="s">
        <v>296</v>
      </c>
      <c r="D320" s="26" t="s">
        <v>513</v>
      </c>
      <c r="E320" s="8" t="s">
        <v>514</v>
      </c>
      <c r="F320" s="8" t="s">
        <v>515</v>
      </c>
      <c r="G320" s="8" t="s">
        <v>1157</v>
      </c>
      <c r="H320" s="8" t="s">
        <v>1158</v>
      </c>
    </row>
    <row r="321">
      <c r="A321" s="3">
        <v>10320.0</v>
      </c>
      <c r="B321" s="8" t="s">
        <v>295</v>
      </c>
      <c r="C321" s="8" t="s">
        <v>296</v>
      </c>
      <c r="D321" s="26" t="s">
        <v>321</v>
      </c>
      <c r="E321" s="8" t="s">
        <v>322</v>
      </c>
      <c r="F321" s="8" t="s">
        <v>321</v>
      </c>
      <c r="G321" s="8" t="s">
        <v>1159</v>
      </c>
      <c r="H321" s="8" t="s">
        <v>1160</v>
      </c>
    </row>
    <row r="322">
      <c r="A322" s="3">
        <v>10321.0</v>
      </c>
      <c r="B322" s="8" t="s">
        <v>8</v>
      </c>
      <c r="C322" s="8" t="s">
        <v>9</v>
      </c>
      <c r="D322" s="26" t="s">
        <v>1161</v>
      </c>
      <c r="E322" s="8" t="s">
        <v>1162</v>
      </c>
      <c r="F322" s="8" t="s">
        <v>1163</v>
      </c>
      <c r="G322" s="8" t="s">
        <v>1164</v>
      </c>
      <c r="H322" s="8" t="s">
        <v>1165</v>
      </c>
    </row>
    <row r="323">
      <c r="A323" s="3">
        <v>10322.0</v>
      </c>
      <c r="B323" s="8" t="s">
        <v>8</v>
      </c>
      <c r="C323" s="8" t="s">
        <v>9</v>
      </c>
      <c r="D323" s="26" t="s">
        <v>547</v>
      </c>
      <c r="E323" s="8" t="s">
        <v>548</v>
      </c>
      <c r="F323" s="8" t="s">
        <v>549</v>
      </c>
      <c r="G323" s="8" t="s">
        <v>1166</v>
      </c>
      <c r="H323" s="8" t="s">
        <v>1167</v>
      </c>
    </row>
    <row r="324">
      <c r="A324" s="3">
        <v>10323.0</v>
      </c>
      <c r="B324" s="8" t="s">
        <v>8</v>
      </c>
      <c r="C324" s="8" t="s">
        <v>9</v>
      </c>
      <c r="D324" s="26" t="s">
        <v>347</v>
      </c>
      <c r="E324" s="11" t="s">
        <v>348</v>
      </c>
      <c r="F324" s="12" t="s">
        <v>349</v>
      </c>
      <c r="G324" s="8" t="s">
        <v>1168</v>
      </c>
      <c r="H324" s="8" t="s">
        <v>1169</v>
      </c>
    </row>
    <row r="325">
      <c r="A325" s="3">
        <v>10324.0</v>
      </c>
      <c r="B325" s="8" t="s">
        <v>8</v>
      </c>
      <c r="C325" s="8" t="s">
        <v>9</v>
      </c>
      <c r="D325" s="26" t="s">
        <v>559</v>
      </c>
      <c r="E325" s="8" t="s">
        <v>560</v>
      </c>
      <c r="F325" s="8" t="s">
        <v>561</v>
      </c>
      <c r="G325" s="8" t="s">
        <v>1170</v>
      </c>
      <c r="H325" s="8" t="s">
        <v>1171</v>
      </c>
    </row>
    <row r="326">
      <c r="A326" s="3">
        <v>10325.0</v>
      </c>
      <c r="B326" s="8" t="s">
        <v>8</v>
      </c>
      <c r="C326" s="8" t="s">
        <v>9</v>
      </c>
      <c r="D326" s="26" t="s">
        <v>569</v>
      </c>
      <c r="E326" s="8" t="s">
        <v>570</v>
      </c>
      <c r="F326" s="8" t="s">
        <v>571</v>
      </c>
      <c r="G326" s="8" t="s">
        <v>1172</v>
      </c>
      <c r="H326" s="8" t="s">
        <v>1173</v>
      </c>
    </row>
    <row r="327">
      <c r="A327" s="3">
        <v>10326.0</v>
      </c>
      <c r="B327" s="8" t="s">
        <v>8</v>
      </c>
      <c r="C327" s="8" t="s">
        <v>9</v>
      </c>
      <c r="D327" s="26" t="s">
        <v>263</v>
      </c>
      <c r="E327" s="8" t="s">
        <v>264</v>
      </c>
      <c r="F327" s="8" t="s">
        <v>265</v>
      </c>
      <c r="G327" s="8" t="s">
        <v>1174</v>
      </c>
      <c r="H327" s="8" t="s">
        <v>1175</v>
      </c>
    </row>
    <row r="328">
      <c r="A328" s="3">
        <v>10327.0</v>
      </c>
      <c r="B328" s="8" t="s">
        <v>8</v>
      </c>
      <c r="C328" s="8" t="s">
        <v>9</v>
      </c>
      <c r="D328" s="26" t="s">
        <v>290</v>
      </c>
      <c r="E328" s="8" t="s">
        <v>291</v>
      </c>
      <c r="F328" s="8" t="s">
        <v>292</v>
      </c>
      <c r="G328" s="8" t="s">
        <v>1176</v>
      </c>
      <c r="H328" s="8" t="s">
        <v>1177</v>
      </c>
    </row>
    <row r="329">
      <c r="A329" s="3">
        <v>10328.0</v>
      </c>
      <c r="B329" s="8" t="s">
        <v>8</v>
      </c>
      <c r="C329" s="8" t="s">
        <v>9</v>
      </c>
      <c r="D329" s="26" t="s">
        <v>1178</v>
      </c>
      <c r="E329" s="8" t="s">
        <v>1179</v>
      </c>
      <c r="F329" s="8" t="s">
        <v>1180</v>
      </c>
      <c r="G329" s="8" t="s">
        <v>1181</v>
      </c>
      <c r="H329" s="8" t="s">
        <v>1182</v>
      </c>
    </row>
    <row r="330">
      <c r="A330" s="3">
        <v>10329.0</v>
      </c>
      <c r="B330" s="8" t="s">
        <v>8</v>
      </c>
      <c r="C330" s="8" t="s">
        <v>9</v>
      </c>
      <c r="D330" s="26" t="s">
        <v>376</v>
      </c>
      <c r="E330" s="8" t="s">
        <v>377</v>
      </c>
      <c r="F330" s="8" t="s">
        <v>378</v>
      </c>
      <c r="G330" s="8" t="s">
        <v>1183</v>
      </c>
      <c r="H330" s="8" t="s">
        <v>1184</v>
      </c>
    </row>
    <row r="331">
      <c r="A331" s="3">
        <v>10330.0</v>
      </c>
      <c r="B331" s="8" t="s">
        <v>8</v>
      </c>
      <c r="C331" s="8" t="s">
        <v>9</v>
      </c>
      <c r="D331" s="26" t="s">
        <v>564</v>
      </c>
      <c r="E331" s="8" t="s">
        <v>565</v>
      </c>
      <c r="F331" s="8" t="s">
        <v>566</v>
      </c>
      <c r="G331" s="8" t="s">
        <v>1185</v>
      </c>
      <c r="H331" s="8" t="s">
        <v>1186</v>
      </c>
    </row>
    <row r="332">
      <c r="A332" s="3">
        <v>10331.0</v>
      </c>
      <c r="B332" s="8" t="s">
        <v>8</v>
      </c>
      <c r="C332" s="8" t="s">
        <v>9</v>
      </c>
      <c r="D332" s="26" t="s">
        <v>882</v>
      </c>
      <c r="E332" s="8" t="s">
        <v>883</v>
      </c>
      <c r="F332" s="8" t="s">
        <v>884</v>
      </c>
      <c r="G332" s="8" t="s">
        <v>1187</v>
      </c>
      <c r="H332" s="8" t="s">
        <v>1188</v>
      </c>
    </row>
    <row r="333">
      <c r="A333" s="3">
        <v>10332.0</v>
      </c>
      <c r="B333" s="8" t="s">
        <v>8</v>
      </c>
      <c r="C333" s="8" t="s">
        <v>9</v>
      </c>
      <c r="D333" s="26" t="s">
        <v>1189</v>
      </c>
      <c r="E333" s="8" t="s">
        <v>1190</v>
      </c>
      <c r="F333" s="8" t="s">
        <v>1191</v>
      </c>
      <c r="G333" s="8" t="s">
        <v>1192</v>
      </c>
      <c r="H333" s="8" t="s">
        <v>1193</v>
      </c>
    </row>
    <row r="334">
      <c r="A334" s="3">
        <v>10333.0</v>
      </c>
      <c r="B334" s="8" t="s">
        <v>8</v>
      </c>
      <c r="C334" s="8" t="s">
        <v>9</v>
      </c>
      <c r="D334" s="26" t="s">
        <v>52</v>
      </c>
      <c r="E334" s="8" t="s">
        <v>53</v>
      </c>
      <c r="F334" s="8" t="s">
        <v>54</v>
      </c>
      <c r="G334" s="8" t="s">
        <v>1194</v>
      </c>
      <c r="H334" s="8" t="s">
        <v>1195</v>
      </c>
    </row>
    <row r="335">
      <c r="A335" s="3">
        <v>10334.0</v>
      </c>
      <c r="B335" s="8" t="s">
        <v>8</v>
      </c>
      <c r="C335" s="8" t="s">
        <v>9</v>
      </c>
      <c r="D335" s="26" t="s">
        <v>235</v>
      </c>
      <c r="E335" s="8" t="s">
        <v>236</v>
      </c>
      <c r="F335" s="8" t="s">
        <v>237</v>
      </c>
      <c r="G335" s="8" t="s">
        <v>1196</v>
      </c>
      <c r="H335" s="8" t="s">
        <v>1197</v>
      </c>
    </row>
    <row r="336">
      <c r="A336" s="3">
        <v>10335.0</v>
      </c>
      <c r="B336" s="8" t="s">
        <v>8</v>
      </c>
      <c r="C336" s="8" t="s">
        <v>9</v>
      </c>
      <c r="D336" s="26" t="s">
        <v>452</v>
      </c>
      <c r="E336" s="8" t="s">
        <v>453</v>
      </c>
      <c r="F336" s="8" t="s">
        <v>454</v>
      </c>
      <c r="G336" s="8" t="s">
        <v>1198</v>
      </c>
      <c r="H336" s="8" t="s">
        <v>1199</v>
      </c>
    </row>
    <row r="337">
      <c r="A337" s="3">
        <v>10336.0</v>
      </c>
      <c r="B337" s="8" t="s">
        <v>8</v>
      </c>
      <c r="C337" s="8" t="s">
        <v>9</v>
      </c>
      <c r="D337" s="26" t="s">
        <v>523</v>
      </c>
      <c r="E337" s="8" t="s">
        <v>524</v>
      </c>
      <c r="F337" s="8" t="s">
        <v>525</v>
      </c>
      <c r="G337" s="8" t="s">
        <v>1200</v>
      </c>
      <c r="H337" s="8" t="s">
        <v>1201</v>
      </c>
    </row>
    <row r="338">
      <c r="A338" s="3">
        <v>10337.0</v>
      </c>
      <c r="B338" s="8" t="s">
        <v>295</v>
      </c>
      <c r="C338" s="8" t="s">
        <v>296</v>
      </c>
      <c r="D338" s="26" t="s">
        <v>327</v>
      </c>
      <c r="E338" s="8" t="s">
        <v>328</v>
      </c>
      <c r="F338" s="8" t="s">
        <v>327</v>
      </c>
      <c r="G338" s="8" t="s">
        <v>1202</v>
      </c>
      <c r="H338" s="8" t="s">
        <v>1203</v>
      </c>
    </row>
    <row r="339">
      <c r="A339" s="3">
        <v>10338.0</v>
      </c>
      <c r="B339" s="8" t="s">
        <v>50</v>
      </c>
      <c r="C339" s="8" t="s">
        <v>51</v>
      </c>
      <c r="D339" s="26" t="s">
        <v>494</v>
      </c>
      <c r="E339" s="8" t="s">
        <v>495</v>
      </c>
      <c r="F339" s="8" t="s">
        <v>496</v>
      </c>
      <c r="G339" s="8" t="s">
        <v>1204</v>
      </c>
      <c r="H339" s="8" t="s">
        <v>1205</v>
      </c>
    </row>
    <row r="340">
      <c r="A340" s="3">
        <v>10339.0</v>
      </c>
      <c r="B340" s="8" t="s">
        <v>50</v>
      </c>
      <c r="C340" s="8" t="s">
        <v>51</v>
      </c>
      <c r="D340" s="26" t="s">
        <v>533</v>
      </c>
      <c r="E340" s="8" t="s">
        <v>534</v>
      </c>
      <c r="F340" s="8" t="s">
        <v>533</v>
      </c>
      <c r="G340" s="8" t="s">
        <v>1206</v>
      </c>
      <c r="H340" s="8" t="s">
        <v>1207</v>
      </c>
    </row>
    <row r="341">
      <c r="A341" s="3">
        <v>10340.0</v>
      </c>
      <c r="B341" s="8" t="s">
        <v>50</v>
      </c>
      <c r="C341" s="8" t="s">
        <v>51</v>
      </c>
      <c r="D341" s="26" t="s">
        <v>537</v>
      </c>
      <c r="E341" s="8" t="s">
        <v>538</v>
      </c>
      <c r="F341" s="8" t="s">
        <v>539</v>
      </c>
      <c r="G341" s="8" t="s">
        <v>1208</v>
      </c>
      <c r="H341" s="8" t="s">
        <v>1209</v>
      </c>
    </row>
    <row r="342">
      <c r="A342" s="3">
        <v>10341.0</v>
      </c>
      <c r="B342" s="8" t="s">
        <v>50</v>
      </c>
      <c r="C342" s="8" t="s">
        <v>51</v>
      </c>
      <c r="D342" s="26" t="s">
        <v>913</v>
      </c>
      <c r="E342" s="8" t="s">
        <v>914</v>
      </c>
      <c r="F342" s="8" t="s">
        <v>913</v>
      </c>
      <c r="G342" s="8" t="s">
        <v>1210</v>
      </c>
      <c r="H342" s="8" t="s">
        <v>1211</v>
      </c>
    </row>
    <row r="343">
      <c r="A343" s="3">
        <v>10342.0</v>
      </c>
      <c r="B343" s="8" t="s">
        <v>50</v>
      </c>
      <c r="C343" s="8" t="s">
        <v>51</v>
      </c>
      <c r="D343" s="26" t="s">
        <v>371</v>
      </c>
      <c r="E343" s="8" t="s">
        <v>372</v>
      </c>
      <c r="F343" s="8" t="s">
        <v>373</v>
      </c>
      <c r="G343" s="8" t="s">
        <v>1212</v>
      </c>
      <c r="H343" s="8" t="s">
        <v>1213</v>
      </c>
    </row>
    <row r="344">
      <c r="A344" s="3">
        <v>10343.0</v>
      </c>
      <c r="B344" s="8" t="s">
        <v>50</v>
      </c>
      <c r="C344" s="8" t="s">
        <v>51</v>
      </c>
      <c r="D344" s="26" t="s">
        <v>616</v>
      </c>
      <c r="E344" s="8" t="s">
        <v>1214</v>
      </c>
      <c r="F344" s="8" t="s">
        <v>1215</v>
      </c>
      <c r="G344" s="8" t="s">
        <v>1216</v>
      </c>
      <c r="H344" s="8" t="s">
        <v>1217</v>
      </c>
    </row>
    <row r="345">
      <c r="A345" s="3">
        <v>10344.0</v>
      </c>
      <c r="B345" s="8" t="s">
        <v>50</v>
      </c>
      <c r="C345" s="8" t="s">
        <v>51</v>
      </c>
      <c r="D345" s="26" t="s">
        <v>62</v>
      </c>
      <c r="E345" s="8" t="s">
        <v>63</v>
      </c>
      <c r="F345" s="8" t="s">
        <v>64</v>
      </c>
      <c r="G345" s="8" t="s">
        <v>1218</v>
      </c>
      <c r="H345" s="8" t="s">
        <v>1219</v>
      </c>
    </row>
    <row r="346">
      <c r="A346" s="3">
        <v>10345.0</v>
      </c>
      <c r="B346" s="8" t="s">
        <v>50</v>
      </c>
      <c r="C346" s="8" t="s">
        <v>51</v>
      </c>
      <c r="D346" s="26" t="s">
        <v>376</v>
      </c>
      <c r="E346" s="8" t="s">
        <v>377</v>
      </c>
      <c r="F346" s="8" t="s">
        <v>378</v>
      </c>
      <c r="G346" s="8" t="s">
        <v>1220</v>
      </c>
      <c r="H346" s="8" t="s">
        <v>1221</v>
      </c>
    </row>
    <row r="347">
      <c r="A347" s="3">
        <v>10346.0</v>
      </c>
      <c r="B347" s="8" t="s">
        <v>50</v>
      </c>
      <c r="C347" s="8" t="s">
        <v>51</v>
      </c>
      <c r="D347" s="26" t="s">
        <v>235</v>
      </c>
      <c r="E347" s="8" t="s">
        <v>236</v>
      </c>
      <c r="F347" s="8" t="s">
        <v>237</v>
      </c>
      <c r="G347" s="8" t="s">
        <v>1222</v>
      </c>
      <c r="H347" s="8" t="s">
        <v>1223</v>
      </c>
    </row>
    <row r="348">
      <c r="A348" s="3">
        <v>10347.0</v>
      </c>
      <c r="B348" s="8" t="s">
        <v>50</v>
      </c>
      <c r="C348" s="8" t="s">
        <v>51</v>
      </c>
      <c r="D348" s="26" t="s">
        <v>347</v>
      </c>
      <c r="E348" s="11" t="s">
        <v>348</v>
      </c>
      <c r="F348" s="12" t="s">
        <v>349</v>
      </c>
      <c r="G348" s="8" t="s">
        <v>1224</v>
      </c>
      <c r="H348" s="8" t="s">
        <v>1225</v>
      </c>
    </row>
    <row r="349">
      <c r="A349" s="3">
        <v>10348.0</v>
      </c>
      <c r="B349" s="8" t="s">
        <v>50</v>
      </c>
      <c r="C349" s="8" t="s">
        <v>51</v>
      </c>
      <c r="D349" s="26" t="s">
        <v>1226</v>
      </c>
      <c r="E349" s="8" t="s">
        <v>1227</v>
      </c>
      <c r="F349" s="8" t="s">
        <v>1228</v>
      </c>
      <c r="G349" s="8" t="s">
        <v>1229</v>
      </c>
      <c r="H349" s="8" t="s">
        <v>1230</v>
      </c>
    </row>
    <row r="350">
      <c r="A350" s="3">
        <v>10349.0</v>
      </c>
      <c r="B350" s="8" t="s">
        <v>312</v>
      </c>
      <c r="C350" s="8" t="s">
        <v>313</v>
      </c>
      <c r="D350" s="26" t="s">
        <v>376</v>
      </c>
      <c r="E350" s="8" t="s">
        <v>377</v>
      </c>
      <c r="F350" s="8" t="s">
        <v>378</v>
      </c>
      <c r="G350" s="8" t="s">
        <v>1231</v>
      </c>
      <c r="H350" s="8" t="s">
        <v>1232</v>
      </c>
    </row>
    <row r="351">
      <c r="A351" s="3">
        <v>10350.0</v>
      </c>
      <c r="B351" s="8" t="s">
        <v>50</v>
      </c>
      <c r="C351" s="8" t="s">
        <v>51</v>
      </c>
      <c r="D351" s="26" t="s">
        <v>569</v>
      </c>
      <c r="E351" s="8" t="s">
        <v>570</v>
      </c>
      <c r="F351" s="8" t="s">
        <v>571</v>
      </c>
      <c r="G351" s="8" t="s">
        <v>1233</v>
      </c>
      <c r="H351" s="8" t="s">
        <v>1234</v>
      </c>
    </row>
    <row r="352">
      <c r="A352" s="3">
        <v>10351.0</v>
      </c>
      <c r="B352" s="8" t="s">
        <v>50</v>
      </c>
      <c r="C352" s="8" t="s">
        <v>51</v>
      </c>
      <c r="D352" s="26" t="s">
        <v>564</v>
      </c>
      <c r="E352" s="8" t="s">
        <v>565</v>
      </c>
      <c r="F352" s="8" t="s">
        <v>566</v>
      </c>
      <c r="G352" s="8" t="s">
        <v>1235</v>
      </c>
      <c r="H352" s="8" t="s">
        <v>1236</v>
      </c>
    </row>
    <row r="353">
      <c r="A353" s="3">
        <v>10352.0</v>
      </c>
      <c r="B353" s="8" t="s">
        <v>50</v>
      </c>
      <c r="C353" s="8" t="s">
        <v>51</v>
      </c>
      <c r="D353" s="26" t="s">
        <v>547</v>
      </c>
      <c r="E353" s="8" t="s">
        <v>548</v>
      </c>
      <c r="F353" s="8" t="s">
        <v>549</v>
      </c>
      <c r="G353" s="8" t="s">
        <v>1237</v>
      </c>
      <c r="H353" s="8" t="s">
        <v>1238</v>
      </c>
    </row>
    <row r="354">
      <c r="A354" s="3">
        <v>10353.0</v>
      </c>
      <c r="B354" s="8" t="s">
        <v>50</v>
      </c>
      <c r="C354" s="8" t="s">
        <v>51</v>
      </c>
      <c r="D354" s="26" t="s">
        <v>1239</v>
      </c>
      <c r="E354" s="8" t="s">
        <v>1240</v>
      </c>
      <c r="F354" s="8" t="s">
        <v>1241</v>
      </c>
      <c r="G354" s="8" t="s">
        <v>1242</v>
      </c>
      <c r="H354" s="8" t="s">
        <v>1243</v>
      </c>
    </row>
    <row r="355">
      <c r="A355" s="3">
        <v>10354.0</v>
      </c>
      <c r="B355" s="8" t="s">
        <v>302</v>
      </c>
      <c r="C355" s="8" t="s">
        <v>303</v>
      </c>
      <c r="D355" s="26" t="s">
        <v>533</v>
      </c>
      <c r="E355" s="8" t="s">
        <v>534</v>
      </c>
      <c r="F355" s="8" t="s">
        <v>533</v>
      </c>
      <c r="G355" s="8" t="s">
        <v>1244</v>
      </c>
      <c r="H355" s="8" t="s">
        <v>1245</v>
      </c>
    </row>
    <row r="356">
      <c r="A356" s="3">
        <v>10355.0</v>
      </c>
      <c r="B356" s="8" t="s">
        <v>302</v>
      </c>
      <c r="C356" s="8" t="s">
        <v>303</v>
      </c>
      <c r="D356" s="26" t="s">
        <v>559</v>
      </c>
      <c r="E356" s="8" t="s">
        <v>560</v>
      </c>
      <c r="F356" s="8" t="s">
        <v>561</v>
      </c>
      <c r="G356" s="8" t="s">
        <v>1246</v>
      </c>
      <c r="H356" s="8" t="s">
        <v>1247</v>
      </c>
    </row>
    <row r="357">
      <c r="A357" s="3">
        <v>10356.0</v>
      </c>
      <c r="B357" s="8" t="s">
        <v>302</v>
      </c>
      <c r="C357" s="8" t="s">
        <v>303</v>
      </c>
      <c r="D357" s="26" t="s">
        <v>882</v>
      </c>
      <c r="E357" s="8" t="s">
        <v>883</v>
      </c>
      <c r="F357" s="8" t="s">
        <v>884</v>
      </c>
      <c r="G357" s="8" t="s">
        <v>1248</v>
      </c>
      <c r="H357" s="8" t="s">
        <v>1249</v>
      </c>
    </row>
    <row r="358">
      <c r="A358" s="3">
        <v>10357.0</v>
      </c>
      <c r="B358" s="8" t="s">
        <v>302</v>
      </c>
      <c r="C358" s="8" t="s">
        <v>303</v>
      </c>
      <c r="D358" s="26" t="s">
        <v>290</v>
      </c>
      <c r="E358" s="8" t="s">
        <v>291</v>
      </c>
      <c r="F358" s="8" t="s">
        <v>292</v>
      </c>
      <c r="G358" s="8" t="s">
        <v>1250</v>
      </c>
      <c r="H358" s="8" t="s">
        <v>1251</v>
      </c>
    </row>
    <row r="359">
      <c r="A359" s="3">
        <v>10358.0</v>
      </c>
      <c r="B359" s="8" t="s">
        <v>302</v>
      </c>
      <c r="C359" s="8" t="s">
        <v>303</v>
      </c>
      <c r="D359" s="26" t="s">
        <v>410</v>
      </c>
      <c r="E359" s="8" t="s">
        <v>411</v>
      </c>
      <c r="F359" s="8" t="s">
        <v>410</v>
      </c>
      <c r="G359" s="8" t="s">
        <v>1252</v>
      </c>
      <c r="H359" s="8" t="s">
        <v>1253</v>
      </c>
    </row>
    <row r="360">
      <c r="A360" s="3">
        <v>10359.0</v>
      </c>
      <c r="B360" s="8" t="s">
        <v>302</v>
      </c>
      <c r="C360" s="8" t="s">
        <v>303</v>
      </c>
      <c r="D360" s="26" t="s">
        <v>643</v>
      </c>
      <c r="E360" s="8" t="s">
        <v>644</v>
      </c>
      <c r="F360" s="8" t="s">
        <v>645</v>
      </c>
      <c r="G360" s="8" t="s">
        <v>1254</v>
      </c>
      <c r="H360" s="8" t="s">
        <v>1255</v>
      </c>
    </row>
    <row r="361">
      <c r="A361" s="3">
        <v>10360.0</v>
      </c>
      <c r="B361" s="8" t="s">
        <v>302</v>
      </c>
      <c r="C361" s="8" t="s">
        <v>303</v>
      </c>
      <c r="D361" s="26" t="s">
        <v>628</v>
      </c>
      <c r="E361" s="8" t="s">
        <v>629</v>
      </c>
      <c r="F361" s="8" t="s">
        <v>630</v>
      </c>
      <c r="G361" s="8" t="s">
        <v>1256</v>
      </c>
      <c r="H361" s="8" t="s">
        <v>1257</v>
      </c>
    </row>
    <row r="362">
      <c r="A362" s="3">
        <v>10361.0</v>
      </c>
      <c r="B362" s="8" t="s">
        <v>302</v>
      </c>
      <c r="C362" s="8" t="s">
        <v>303</v>
      </c>
      <c r="D362" s="26" t="s">
        <v>484</v>
      </c>
      <c r="E362" s="8" t="s">
        <v>485</v>
      </c>
      <c r="F362" s="8" t="s">
        <v>484</v>
      </c>
      <c r="G362" s="8" t="s">
        <v>1258</v>
      </c>
      <c r="H362" s="8" t="s">
        <v>1259</v>
      </c>
    </row>
    <row r="363">
      <c r="A363" s="3">
        <v>10362.0</v>
      </c>
      <c r="B363" s="8" t="s">
        <v>302</v>
      </c>
      <c r="C363" s="8" t="s">
        <v>303</v>
      </c>
      <c r="D363" s="26" t="s">
        <v>547</v>
      </c>
      <c r="E363" s="8" t="s">
        <v>548</v>
      </c>
      <c r="F363" s="8" t="s">
        <v>549</v>
      </c>
      <c r="G363" s="8" t="s">
        <v>1260</v>
      </c>
      <c r="H363" s="8" t="s">
        <v>1261</v>
      </c>
    </row>
    <row r="364">
      <c r="A364" s="3">
        <v>10363.0</v>
      </c>
      <c r="B364" s="8" t="s">
        <v>302</v>
      </c>
      <c r="C364" s="8" t="s">
        <v>303</v>
      </c>
      <c r="D364" s="26" t="s">
        <v>347</v>
      </c>
      <c r="E364" s="11" t="s">
        <v>348</v>
      </c>
      <c r="F364" s="12" t="s">
        <v>349</v>
      </c>
      <c r="G364" s="8" t="s">
        <v>1262</v>
      </c>
      <c r="H364" s="8" t="s">
        <v>1263</v>
      </c>
    </row>
    <row r="365">
      <c r="A365" s="3">
        <v>10364.0</v>
      </c>
      <c r="B365" s="8" t="s">
        <v>302</v>
      </c>
      <c r="C365" s="8" t="s">
        <v>303</v>
      </c>
      <c r="D365" s="26" t="s">
        <v>513</v>
      </c>
      <c r="E365" s="8" t="s">
        <v>514</v>
      </c>
      <c r="F365" s="8" t="s">
        <v>515</v>
      </c>
      <c r="G365" s="8" t="s">
        <v>1264</v>
      </c>
      <c r="H365" s="8" t="s">
        <v>1265</v>
      </c>
    </row>
    <row r="366">
      <c r="A366" s="3">
        <v>10365.0</v>
      </c>
      <c r="B366" s="8" t="s">
        <v>302</v>
      </c>
      <c r="C366" s="8" t="s">
        <v>303</v>
      </c>
      <c r="D366" s="26" t="s">
        <v>62</v>
      </c>
      <c r="E366" s="8" t="s">
        <v>63</v>
      </c>
      <c r="F366" s="8" t="s">
        <v>64</v>
      </c>
      <c r="G366" s="8" t="s">
        <v>1266</v>
      </c>
      <c r="H366" s="8" t="s">
        <v>1267</v>
      </c>
    </row>
    <row r="367">
      <c r="A367" s="3">
        <v>10366.0</v>
      </c>
      <c r="B367" s="8" t="s">
        <v>302</v>
      </c>
      <c r="C367" s="8" t="s">
        <v>303</v>
      </c>
      <c r="D367" s="26" t="s">
        <v>304</v>
      </c>
      <c r="E367" s="8" t="s">
        <v>305</v>
      </c>
      <c r="F367" s="8" t="s">
        <v>304</v>
      </c>
      <c r="G367" s="8" t="s">
        <v>1268</v>
      </c>
      <c r="H367" s="8" t="s">
        <v>1269</v>
      </c>
    </row>
    <row r="368">
      <c r="A368" s="3">
        <v>10367.0</v>
      </c>
      <c r="B368" s="8" t="s">
        <v>302</v>
      </c>
      <c r="C368" s="8" t="s">
        <v>303</v>
      </c>
      <c r="D368" s="26" t="s">
        <v>52</v>
      </c>
      <c r="E368" s="8" t="s">
        <v>53</v>
      </c>
      <c r="F368" s="8" t="s">
        <v>54</v>
      </c>
      <c r="G368" s="8" t="s">
        <v>1270</v>
      </c>
      <c r="H368" s="8" t="s">
        <v>1271</v>
      </c>
    </row>
    <row r="369">
      <c r="A369" s="3">
        <v>10368.0</v>
      </c>
      <c r="B369" s="8" t="s">
        <v>302</v>
      </c>
      <c r="C369" s="8" t="s">
        <v>303</v>
      </c>
      <c r="D369" s="26" t="s">
        <v>376</v>
      </c>
      <c r="E369" s="8" t="s">
        <v>377</v>
      </c>
      <c r="F369" s="8" t="s">
        <v>378</v>
      </c>
      <c r="G369" s="8" t="s">
        <v>1272</v>
      </c>
      <c r="H369" s="8" t="s">
        <v>1273</v>
      </c>
    </row>
    <row r="370">
      <c r="A370" s="3">
        <v>10369.0</v>
      </c>
      <c r="B370" s="8" t="s">
        <v>302</v>
      </c>
      <c r="C370" s="8" t="s">
        <v>303</v>
      </c>
      <c r="D370" s="26" t="s">
        <v>235</v>
      </c>
      <c r="E370" s="8" t="s">
        <v>236</v>
      </c>
      <c r="F370" s="8" t="s">
        <v>237</v>
      </c>
      <c r="G370" s="8" t="s">
        <v>1274</v>
      </c>
      <c r="H370" s="8" t="s">
        <v>1275</v>
      </c>
    </row>
    <row r="371">
      <c r="A371" s="3">
        <v>10370.0</v>
      </c>
      <c r="B371" s="8" t="s">
        <v>308</v>
      </c>
      <c r="C371" s="8" t="s">
        <v>309</v>
      </c>
      <c r="D371" s="26" t="s">
        <v>101</v>
      </c>
      <c r="E371" s="8" t="s">
        <v>102</v>
      </c>
      <c r="F371" s="8" t="s">
        <v>103</v>
      </c>
      <c r="G371" s="8" t="s">
        <v>1276</v>
      </c>
      <c r="H371" s="8" t="s">
        <v>1277</v>
      </c>
    </row>
    <row r="372">
      <c r="A372" s="3">
        <v>10371.0</v>
      </c>
      <c r="B372" s="8" t="s">
        <v>308</v>
      </c>
      <c r="C372" s="8" t="s">
        <v>309</v>
      </c>
      <c r="D372" s="26" t="s">
        <v>423</v>
      </c>
      <c r="E372" s="8" t="s">
        <v>424</v>
      </c>
      <c r="F372" s="8" t="s">
        <v>425</v>
      </c>
      <c r="G372" s="8" t="s">
        <v>1278</v>
      </c>
      <c r="H372" s="8" t="s">
        <v>1279</v>
      </c>
    </row>
    <row r="373">
      <c r="A373" s="3">
        <v>10372.0</v>
      </c>
      <c r="B373" s="8" t="s">
        <v>308</v>
      </c>
      <c r="C373" s="8" t="s">
        <v>309</v>
      </c>
      <c r="D373" s="26" t="s">
        <v>213</v>
      </c>
      <c r="E373" s="8" t="s">
        <v>214</v>
      </c>
      <c r="F373" s="8" t="s">
        <v>215</v>
      </c>
      <c r="G373" s="8" t="s">
        <v>1280</v>
      </c>
      <c r="H373" s="8" t="s">
        <v>1281</v>
      </c>
    </row>
    <row r="374">
      <c r="A374" s="3">
        <v>10373.0</v>
      </c>
      <c r="B374" s="8" t="s">
        <v>308</v>
      </c>
      <c r="C374" s="8" t="s">
        <v>309</v>
      </c>
      <c r="D374" s="26" t="s">
        <v>268</v>
      </c>
      <c r="E374" s="8" t="s">
        <v>269</v>
      </c>
      <c r="F374" s="8" t="s">
        <v>270</v>
      </c>
      <c r="G374" s="8" t="s">
        <v>1282</v>
      </c>
      <c r="H374" s="8" t="s">
        <v>1283</v>
      </c>
    </row>
    <row r="375">
      <c r="A375" s="3">
        <v>10374.0</v>
      </c>
      <c r="B375" s="8" t="s">
        <v>308</v>
      </c>
      <c r="C375" s="8" t="s">
        <v>309</v>
      </c>
      <c r="D375" s="26" t="s">
        <v>430</v>
      </c>
      <c r="E375" s="8" t="s">
        <v>431</v>
      </c>
      <c r="F375" s="8" t="s">
        <v>432</v>
      </c>
      <c r="G375" s="8" t="s">
        <v>1284</v>
      </c>
      <c r="H375" s="8" t="s">
        <v>1285</v>
      </c>
    </row>
    <row r="376">
      <c r="A376" s="3">
        <v>10375.0</v>
      </c>
      <c r="B376" s="8" t="s">
        <v>308</v>
      </c>
      <c r="C376" s="8" t="s">
        <v>309</v>
      </c>
      <c r="D376" s="26" t="s">
        <v>403</v>
      </c>
      <c r="E376" s="8" t="s">
        <v>404</v>
      </c>
      <c r="F376" s="8" t="s">
        <v>405</v>
      </c>
      <c r="G376" s="8" t="s">
        <v>1286</v>
      </c>
      <c r="H376" s="8" t="s">
        <v>1287</v>
      </c>
    </row>
    <row r="377">
      <c r="A377" s="3">
        <v>10376.0</v>
      </c>
      <c r="B377" s="8" t="s">
        <v>308</v>
      </c>
      <c r="C377" s="8" t="s">
        <v>309</v>
      </c>
      <c r="D377" s="26" t="s">
        <v>1023</v>
      </c>
      <c r="E377" s="8" t="s">
        <v>1024</v>
      </c>
      <c r="F377" s="8" t="s">
        <v>1025</v>
      </c>
      <c r="G377" s="8" t="s">
        <v>1288</v>
      </c>
      <c r="H377" s="8" t="s">
        <v>1289</v>
      </c>
    </row>
    <row r="378">
      <c r="A378" s="3">
        <v>10377.0</v>
      </c>
      <c r="B378" s="8" t="s">
        <v>308</v>
      </c>
      <c r="C378" s="8" t="s">
        <v>309</v>
      </c>
      <c r="D378" s="26" t="s">
        <v>1042</v>
      </c>
      <c r="E378" s="8" t="s">
        <v>1043</v>
      </c>
      <c r="F378" s="8" t="s">
        <v>1044</v>
      </c>
      <c r="G378" s="8" t="s">
        <v>1290</v>
      </c>
      <c r="H378" s="8" t="s">
        <v>1291</v>
      </c>
    </row>
    <row r="379">
      <c r="A379" s="3">
        <v>10378.0</v>
      </c>
      <c r="B379" s="8" t="s">
        <v>308</v>
      </c>
      <c r="C379" s="8" t="s">
        <v>309</v>
      </c>
      <c r="D379" s="26" t="s">
        <v>695</v>
      </c>
      <c r="E379" s="8" t="s">
        <v>417</v>
      </c>
      <c r="F379" s="8" t="s">
        <v>418</v>
      </c>
      <c r="G379" s="8" t="s">
        <v>1292</v>
      </c>
      <c r="H379" s="8" t="s">
        <v>1293</v>
      </c>
    </row>
    <row r="380">
      <c r="A380" s="3">
        <v>10379.0</v>
      </c>
      <c r="B380" s="8" t="s">
        <v>308</v>
      </c>
      <c r="C380" s="8" t="s">
        <v>309</v>
      </c>
      <c r="D380" s="26" t="s">
        <v>388</v>
      </c>
      <c r="E380" s="8" t="s">
        <v>389</v>
      </c>
      <c r="F380" s="8" t="s">
        <v>390</v>
      </c>
      <c r="G380" s="8" t="s">
        <v>1294</v>
      </c>
      <c r="H380" s="8" t="s">
        <v>1295</v>
      </c>
    </row>
    <row r="381">
      <c r="A381" s="3">
        <v>10380.0</v>
      </c>
      <c r="B381" s="8" t="s">
        <v>308</v>
      </c>
      <c r="C381" s="8" t="s">
        <v>309</v>
      </c>
      <c r="D381" s="26" t="s">
        <v>25</v>
      </c>
      <c r="E381" s="8" t="s">
        <v>26</v>
      </c>
      <c r="F381" s="8" t="s">
        <v>27</v>
      </c>
      <c r="G381" s="8" t="s">
        <v>1296</v>
      </c>
      <c r="H381" s="8" t="s">
        <v>1297</v>
      </c>
    </row>
    <row r="382">
      <c r="A382" s="3">
        <v>10381.0</v>
      </c>
      <c r="B382" s="8" t="s">
        <v>308</v>
      </c>
      <c r="C382" s="8" t="s">
        <v>309</v>
      </c>
      <c r="D382" s="26" t="s">
        <v>698</v>
      </c>
      <c r="E382" s="8" t="s">
        <v>699</v>
      </c>
      <c r="F382" s="8" t="s">
        <v>700</v>
      </c>
      <c r="G382" s="8" t="s">
        <v>1298</v>
      </c>
      <c r="H382" s="8" t="s">
        <v>1299</v>
      </c>
    </row>
    <row r="383">
      <c r="A383" s="3">
        <v>10382.0</v>
      </c>
      <c r="B383" s="8" t="s">
        <v>308</v>
      </c>
      <c r="C383" s="8" t="s">
        <v>309</v>
      </c>
      <c r="D383" s="26" t="s">
        <v>96</v>
      </c>
      <c r="E383" s="8" t="s">
        <v>97</v>
      </c>
      <c r="F383" s="8" t="s">
        <v>98</v>
      </c>
      <c r="G383" s="8" t="s">
        <v>1300</v>
      </c>
      <c r="H383" s="8" t="s">
        <v>1301</v>
      </c>
    </row>
    <row r="384">
      <c r="A384" s="3">
        <v>10383.0</v>
      </c>
      <c r="B384" s="8" t="s">
        <v>308</v>
      </c>
      <c r="C384" s="8" t="s">
        <v>309</v>
      </c>
      <c r="D384" s="26" t="s">
        <v>123</v>
      </c>
      <c r="E384" s="8" t="s">
        <v>124</v>
      </c>
      <c r="F384" s="8" t="s">
        <v>125</v>
      </c>
      <c r="G384" s="8" t="s">
        <v>1302</v>
      </c>
      <c r="H384" s="8" t="s">
        <v>1303</v>
      </c>
    </row>
    <row r="385">
      <c r="A385" s="3">
        <v>10384.0</v>
      </c>
      <c r="B385" s="8" t="s">
        <v>308</v>
      </c>
      <c r="C385" s="8" t="s">
        <v>309</v>
      </c>
      <c r="D385" s="26" t="s">
        <v>722</v>
      </c>
      <c r="E385" s="8" t="s">
        <v>723</v>
      </c>
      <c r="F385" s="8" t="s">
        <v>724</v>
      </c>
      <c r="G385" s="8" t="s">
        <v>1304</v>
      </c>
      <c r="H385" s="8" t="s">
        <v>1305</v>
      </c>
    </row>
    <row r="386">
      <c r="A386" s="3">
        <v>10385.0</v>
      </c>
      <c r="B386" s="8" t="s">
        <v>308</v>
      </c>
      <c r="C386" s="8" t="s">
        <v>309</v>
      </c>
      <c r="D386" s="26" t="s">
        <v>278</v>
      </c>
      <c r="E386" s="8" t="s">
        <v>279</v>
      </c>
      <c r="F386" s="8" t="s">
        <v>1306</v>
      </c>
      <c r="G386" s="8" t="s">
        <v>1307</v>
      </c>
      <c r="H386" s="8" t="s">
        <v>1308</v>
      </c>
    </row>
    <row r="387">
      <c r="A387" s="3">
        <v>10386.0</v>
      </c>
      <c r="B387" s="8" t="s">
        <v>312</v>
      </c>
      <c r="C387" s="8" t="s">
        <v>313</v>
      </c>
      <c r="D387" s="26" t="s">
        <v>45</v>
      </c>
      <c r="E387" s="8" t="s">
        <v>46</v>
      </c>
      <c r="F387" s="8" t="s">
        <v>47</v>
      </c>
      <c r="G387" s="8" t="s">
        <v>1309</v>
      </c>
      <c r="H387" s="8" t="s">
        <v>1310</v>
      </c>
    </row>
    <row r="388">
      <c r="A388" s="3">
        <v>10387.0</v>
      </c>
      <c r="B388" s="8" t="s">
        <v>312</v>
      </c>
      <c r="C388" s="8" t="s">
        <v>313</v>
      </c>
      <c r="D388" s="26" t="s">
        <v>376</v>
      </c>
      <c r="E388" s="8" t="s">
        <v>377</v>
      </c>
      <c r="F388" s="8" t="s">
        <v>378</v>
      </c>
      <c r="G388" s="8" t="s">
        <v>1311</v>
      </c>
      <c r="H388" s="8" t="s">
        <v>1312</v>
      </c>
    </row>
    <row r="389">
      <c r="A389" s="3">
        <v>10388.0</v>
      </c>
      <c r="B389" s="8" t="s">
        <v>312</v>
      </c>
      <c r="C389" s="8" t="s">
        <v>313</v>
      </c>
      <c r="D389" s="26" t="s">
        <v>108</v>
      </c>
      <c r="E389" s="8" t="s">
        <v>109</v>
      </c>
      <c r="F389" s="8" t="s">
        <v>110</v>
      </c>
      <c r="G389" s="8" t="s">
        <v>1313</v>
      </c>
      <c r="H389" s="8" t="s">
        <v>1314</v>
      </c>
    </row>
    <row r="390">
      <c r="A390" s="3">
        <v>10389.0</v>
      </c>
      <c r="B390" s="8" t="s">
        <v>312</v>
      </c>
      <c r="C390" s="8" t="s">
        <v>313</v>
      </c>
      <c r="D390" s="26" t="s">
        <v>96</v>
      </c>
      <c r="E390" s="8" t="s">
        <v>97</v>
      </c>
      <c r="F390" s="8" t="s">
        <v>98</v>
      </c>
      <c r="G390" s="8" t="s">
        <v>1315</v>
      </c>
      <c r="H390" s="8" t="s">
        <v>1316</v>
      </c>
    </row>
    <row r="391">
      <c r="A391" s="3">
        <v>10390.0</v>
      </c>
      <c r="B391" s="8" t="s">
        <v>312</v>
      </c>
      <c r="C391" s="8" t="s">
        <v>313</v>
      </c>
      <c r="D391" s="26" t="s">
        <v>452</v>
      </c>
      <c r="E391" s="8" t="s">
        <v>453</v>
      </c>
      <c r="F391" s="8" t="s">
        <v>454</v>
      </c>
      <c r="G391" s="8" t="s">
        <v>1317</v>
      </c>
      <c r="H391" s="8" t="s">
        <v>1318</v>
      </c>
    </row>
    <row r="392">
      <c r="A392" s="3">
        <v>10391.0</v>
      </c>
      <c r="B392" s="8" t="s">
        <v>312</v>
      </c>
      <c r="C392" s="8" t="s">
        <v>313</v>
      </c>
      <c r="D392" s="26" t="s">
        <v>72</v>
      </c>
      <c r="E392" s="8" t="s">
        <v>73</v>
      </c>
      <c r="F392" s="8" t="s">
        <v>74</v>
      </c>
      <c r="G392" s="8" t="s">
        <v>1319</v>
      </c>
      <c r="H392" s="8" t="s">
        <v>1320</v>
      </c>
    </row>
    <row r="393">
      <c r="A393" s="3">
        <v>10392.0</v>
      </c>
      <c r="B393" s="8" t="s">
        <v>312</v>
      </c>
      <c r="C393" s="8" t="s">
        <v>313</v>
      </c>
      <c r="D393" s="26" t="s">
        <v>756</v>
      </c>
      <c r="E393" s="8" t="s">
        <v>757</v>
      </c>
      <c r="F393" s="8" t="s">
        <v>758</v>
      </c>
      <c r="G393" s="8" t="s">
        <v>1321</v>
      </c>
      <c r="H393" s="8" t="s">
        <v>1322</v>
      </c>
    </row>
    <row r="394">
      <c r="A394" s="3">
        <v>10393.0</v>
      </c>
      <c r="B394" s="8" t="s">
        <v>312</v>
      </c>
      <c r="C394" s="8" t="s">
        <v>313</v>
      </c>
      <c r="D394" s="26" t="s">
        <v>751</v>
      </c>
      <c r="E394" s="8" t="s">
        <v>752</v>
      </c>
      <c r="F394" s="8" t="s">
        <v>753</v>
      </c>
      <c r="G394" s="8" t="s">
        <v>1323</v>
      </c>
      <c r="H394" s="8" t="s">
        <v>1324</v>
      </c>
    </row>
    <row r="395">
      <c r="A395" s="3">
        <v>10394.0</v>
      </c>
      <c r="B395" s="8" t="s">
        <v>312</v>
      </c>
      <c r="C395" s="8" t="s">
        <v>313</v>
      </c>
      <c r="D395" s="26" t="s">
        <v>77</v>
      </c>
      <c r="E395" s="8" t="s">
        <v>78</v>
      </c>
      <c r="F395" s="8" t="s">
        <v>79</v>
      </c>
      <c r="G395" s="8" t="s">
        <v>1325</v>
      </c>
      <c r="H395" s="8" t="s">
        <v>1326</v>
      </c>
    </row>
    <row r="396">
      <c r="A396" s="3">
        <v>10395.0</v>
      </c>
      <c r="B396" s="8" t="s">
        <v>312</v>
      </c>
      <c r="C396" s="8" t="s">
        <v>313</v>
      </c>
      <c r="D396" s="26" t="s">
        <v>777</v>
      </c>
      <c r="E396" s="8" t="s">
        <v>778</v>
      </c>
      <c r="F396" s="8" t="s">
        <v>779</v>
      </c>
      <c r="G396" s="8" t="s">
        <v>1327</v>
      </c>
      <c r="H396" s="8" t="s">
        <v>1328</v>
      </c>
    </row>
    <row r="397">
      <c r="A397" s="3">
        <v>10396.0</v>
      </c>
      <c r="B397" s="8" t="s">
        <v>312</v>
      </c>
      <c r="C397" s="8" t="s">
        <v>313</v>
      </c>
      <c r="D397" s="26" t="s">
        <v>763</v>
      </c>
      <c r="E397" s="8" t="s">
        <v>764</v>
      </c>
      <c r="F397" s="8" t="s">
        <v>765</v>
      </c>
      <c r="G397" s="8" t="s">
        <v>1329</v>
      </c>
      <c r="H397" s="8" t="s">
        <v>1330</v>
      </c>
    </row>
    <row r="398">
      <c r="A398" s="3">
        <v>10397.0</v>
      </c>
      <c r="B398" s="8" t="s">
        <v>312</v>
      </c>
      <c r="C398" s="8" t="s">
        <v>313</v>
      </c>
      <c r="D398" s="26" t="s">
        <v>82</v>
      </c>
      <c r="E398" s="8" t="s">
        <v>83</v>
      </c>
      <c r="F398" s="8" t="s">
        <v>84</v>
      </c>
      <c r="G398" s="8" t="s">
        <v>1331</v>
      </c>
      <c r="H398" s="8" t="s">
        <v>1332</v>
      </c>
    </row>
    <row r="399">
      <c r="A399" s="3">
        <v>10398.0</v>
      </c>
      <c r="B399" s="8" t="s">
        <v>312</v>
      </c>
      <c r="C399" s="8" t="s">
        <v>313</v>
      </c>
      <c r="D399" s="26" t="s">
        <v>746</v>
      </c>
      <c r="E399" s="8" t="s">
        <v>747</v>
      </c>
      <c r="F399" s="8" t="s">
        <v>748</v>
      </c>
      <c r="G399" s="8" t="s">
        <v>1333</v>
      </c>
      <c r="H399" s="8" t="s">
        <v>1334</v>
      </c>
    </row>
    <row r="400">
      <c r="A400" s="3">
        <v>10399.0</v>
      </c>
      <c r="B400" s="8" t="s">
        <v>312</v>
      </c>
      <c r="C400" s="8" t="s">
        <v>313</v>
      </c>
      <c r="D400" s="26" t="s">
        <v>1084</v>
      </c>
      <c r="E400" s="8" t="s">
        <v>1085</v>
      </c>
      <c r="F400" s="8" t="s">
        <v>1084</v>
      </c>
      <c r="G400" s="8" t="s">
        <v>1335</v>
      </c>
      <c r="H400" s="8" t="s">
        <v>1336</v>
      </c>
    </row>
    <row r="401">
      <c r="A401" s="3">
        <v>10400.0</v>
      </c>
      <c r="B401" s="8" t="s">
        <v>312</v>
      </c>
      <c r="C401" s="8" t="s">
        <v>313</v>
      </c>
      <c r="D401" s="26" t="s">
        <v>52</v>
      </c>
      <c r="E401" s="8" t="s">
        <v>53</v>
      </c>
      <c r="F401" s="8" t="s">
        <v>54</v>
      </c>
      <c r="G401" s="8" t="s">
        <v>1337</v>
      </c>
      <c r="H401" s="8" t="s">
        <v>1338</v>
      </c>
    </row>
    <row r="402">
      <c r="A402" s="3">
        <v>10401.0</v>
      </c>
      <c r="B402" s="8" t="s">
        <v>312</v>
      </c>
      <c r="C402" s="8" t="s">
        <v>313</v>
      </c>
      <c r="D402" s="26" t="s">
        <v>235</v>
      </c>
      <c r="E402" s="8" t="s">
        <v>236</v>
      </c>
      <c r="F402" s="8" t="s">
        <v>237</v>
      </c>
      <c r="G402" s="8" t="s">
        <v>1339</v>
      </c>
      <c r="H402" s="8" t="s">
        <v>1340</v>
      </c>
    </row>
    <row r="403">
      <c r="A403" s="3">
        <v>10402.0</v>
      </c>
      <c r="B403" s="8" t="s">
        <v>312</v>
      </c>
      <c r="C403" s="8" t="s">
        <v>313</v>
      </c>
      <c r="D403" s="26" t="s">
        <v>1090</v>
      </c>
      <c r="E403" s="8" t="s">
        <v>1091</v>
      </c>
      <c r="F403" s="8" t="s">
        <v>1092</v>
      </c>
      <c r="G403" s="8" t="s">
        <v>1341</v>
      </c>
      <c r="H403" s="8" t="s">
        <v>1342</v>
      </c>
    </row>
    <row r="404">
      <c r="A404" s="3">
        <v>10403.0</v>
      </c>
      <c r="B404" s="8" t="s">
        <v>295</v>
      </c>
      <c r="C404" s="8" t="s">
        <v>296</v>
      </c>
      <c r="D404" s="26" t="s">
        <v>304</v>
      </c>
      <c r="E404" s="8" t="s">
        <v>305</v>
      </c>
      <c r="F404" s="8" t="s">
        <v>304</v>
      </c>
      <c r="G404" s="8" t="s">
        <v>1343</v>
      </c>
      <c r="H404" s="8" t="s">
        <v>1344</v>
      </c>
    </row>
    <row r="405">
      <c r="A405" s="3">
        <v>10404.0</v>
      </c>
      <c r="B405" s="8" t="s">
        <v>295</v>
      </c>
      <c r="C405" s="8" t="s">
        <v>296</v>
      </c>
      <c r="D405" s="26" t="s">
        <v>108</v>
      </c>
      <c r="E405" s="8" t="s">
        <v>109</v>
      </c>
      <c r="F405" s="8" t="s">
        <v>110</v>
      </c>
      <c r="G405" s="8" t="s">
        <v>1345</v>
      </c>
      <c r="H405" s="8" t="s">
        <v>1346</v>
      </c>
    </row>
    <row r="406">
      <c r="A406" s="3">
        <v>10405.0</v>
      </c>
      <c r="B406" s="8" t="s">
        <v>295</v>
      </c>
      <c r="C406" s="8" t="s">
        <v>296</v>
      </c>
      <c r="D406" s="26" t="s">
        <v>321</v>
      </c>
      <c r="E406" s="8" t="s">
        <v>322</v>
      </c>
      <c r="F406" s="8" t="s">
        <v>321</v>
      </c>
      <c r="G406" s="8" t="s">
        <v>1347</v>
      </c>
      <c r="H406" s="8" t="s">
        <v>1348</v>
      </c>
    </row>
    <row r="407">
      <c r="A407" s="3">
        <v>10406.0</v>
      </c>
      <c r="B407" s="8" t="s">
        <v>295</v>
      </c>
      <c r="C407" s="8" t="s">
        <v>296</v>
      </c>
      <c r="D407" s="26" t="s">
        <v>331</v>
      </c>
      <c r="E407" s="8" t="s">
        <v>332</v>
      </c>
      <c r="F407" s="8" t="s">
        <v>331</v>
      </c>
      <c r="G407" s="8" t="s">
        <v>1349</v>
      </c>
      <c r="H407" s="8" t="s">
        <v>1350</v>
      </c>
    </row>
    <row r="408">
      <c r="A408" s="3">
        <v>10407.0</v>
      </c>
      <c r="B408" s="8" t="s">
        <v>295</v>
      </c>
      <c r="C408" s="8" t="s">
        <v>296</v>
      </c>
      <c r="D408" s="26" t="s">
        <v>178</v>
      </c>
      <c r="E408" s="8" t="s">
        <v>179</v>
      </c>
      <c r="F408" s="8" t="s">
        <v>178</v>
      </c>
      <c r="G408" s="8" t="s">
        <v>1351</v>
      </c>
      <c r="H408" s="8" t="s">
        <v>1352</v>
      </c>
    </row>
    <row r="409">
      <c r="A409" s="3">
        <v>10408.0</v>
      </c>
      <c r="B409" s="8" t="s">
        <v>295</v>
      </c>
      <c r="C409" s="8" t="s">
        <v>296</v>
      </c>
      <c r="D409" s="26" t="s">
        <v>335</v>
      </c>
      <c r="E409" s="8" t="s">
        <v>336</v>
      </c>
      <c r="F409" s="8" t="s">
        <v>337</v>
      </c>
      <c r="G409" s="8" t="s">
        <v>1353</v>
      </c>
      <c r="H409" s="8" t="s">
        <v>1354</v>
      </c>
    </row>
    <row r="410">
      <c r="A410" s="3">
        <v>10409.0</v>
      </c>
      <c r="B410" s="8" t="s">
        <v>295</v>
      </c>
      <c r="C410" s="8" t="s">
        <v>296</v>
      </c>
      <c r="D410" s="26" t="s">
        <v>643</v>
      </c>
      <c r="E410" s="8" t="s">
        <v>644</v>
      </c>
      <c r="F410" s="8" t="s">
        <v>645</v>
      </c>
      <c r="G410" s="8" t="s">
        <v>1355</v>
      </c>
      <c r="H410" s="8" t="s">
        <v>1356</v>
      </c>
    </row>
    <row r="411">
      <c r="A411" s="3">
        <v>10410.0</v>
      </c>
      <c r="B411" s="8" t="s">
        <v>295</v>
      </c>
      <c r="C411" s="8" t="s">
        <v>296</v>
      </c>
      <c r="D411" s="26" t="s">
        <v>1357</v>
      </c>
      <c r="E411" s="8" t="s">
        <v>1358</v>
      </c>
      <c r="F411" s="8" t="s">
        <v>1359</v>
      </c>
      <c r="G411" s="8" t="s">
        <v>1360</v>
      </c>
      <c r="H411" s="8" t="s">
        <v>1361</v>
      </c>
    </row>
    <row r="412">
      <c r="A412" s="3">
        <v>10411.0</v>
      </c>
      <c r="B412" s="8" t="s">
        <v>295</v>
      </c>
      <c r="C412" s="8" t="s">
        <v>296</v>
      </c>
      <c r="D412" s="26" t="s">
        <v>816</v>
      </c>
      <c r="E412" s="8" t="s">
        <v>817</v>
      </c>
      <c r="F412" s="8" t="s">
        <v>818</v>
      </c>
      <c r="G412" s="8" t="s">
        <v>1362</v>
      </c>
      <c r="H412" s="8" t="s">
        <v>1363</v>
      </c>
    </row>
    <row r="413">
      <c r="A413" s="3">
        <v>10412.0</v>
      </c>
      <c r="B413" s="8" t="s">
        <v>295</v>
      </c>
      <c r="C413" s="8" t="s">
        <v>296</v>
      </c>
      <c r="D413" s="26" t="s">
        <v>316</v>
      </c>
      <c r="E413" s="8" t="s">
        <v>317</v>
      </c>
      <c r="F413" s="8" t="s">
        <v>318</v>
      </c>
      <c r="G413" s="8" t="s">
        <v>1364</v>
      </c>
      <c r="H413" s="8" t="s">
        <v>1365</v>
      </c>
    </row>
    <row r="414">
      <c r="A414" s="3">
        <v>10413.0</v>
      </c>
      <c r="B414" s="8" t="s">
        <v>295</v>
      </c>
      <c r="C414" s="8" t="s">
        <v>296</v>
      </c>
      <c r="D414" s="26" t="s">
        <v>72</v>
      </c>
      <c r="E414" s="8" t="s">
        <v>73</v>
      </c>
      <c r="F414" s="8" t="s">
        <v>74</v>
      </c>
      <c r="G414" s="8" t="s">
        <v>1366</v>
      </c>
      <c r="H414" s="8" t="s">
        <v>1367</v>
      </c>
    </row>
    <row r="415">
      <c r="A415" s="3">
        <v>10414.0</v>
      </c>
      <c r="B415" s="8" t="s">
        <v>295</v>
      </c>
      <c r="C415" s="8" t="s">
        <v>296</v>
      </c>
      <c r="D415" s="26" t="s">
        <v>791</v>
      </c>
      <c r="E415" s="8" t="s">
        <v>792</v>
      </c>
      <c r="F415" s="8" t="s">
        <v>793</v>
      </c>
      <c r="G415" s="8" t="s">
        <v>1368</v>
      </c>
      <c r="H415" s="8" t="s">
        <v>1369</v>
      </c>
    </row>
    <row r="416">
      <c r="A416" s="3">
        <v>10415.0</v>
      </c>
      <c r="B416" s="8" t="s">
        <v>295</v>
      </c>
      <c r="C416" s="8" t="s">
        <v>296</v>
      </c>
      <c r="D416" s="26" t="s">
        <v>823</v>
      </c>
      <c r="E416" s="8" t="s">
        <v>824</v>
      </c>
      <c r="F416" s="8" t="s">
        <v>825</v>
      </c>
      <c r="G416" s="8" t="s">
        <v>1370</v>
      </c>
      <c r="H416" s="8" t="s">
        <v>1371</v>
      </c>
    </row>
    <row r="417">
      <c r="A417" s="3">
        <v>10416.0</v>
      </c>
      <c r="B417" s="8" t="s">
        <v>295</v>
      </c>
      <c r="C417" s="8" t="s">
        <v>296</v>
      </c>
      <c r="D417" s="26" t="s">
        <v>834</v>
      </c>
      <c r="E417" s="8" t="s">
        <v>835</v>
      </c>
      <c r="F417" s="8" t="s">
        <v>836</v>
      </c>
      <c r="G417" s="8" t="s">
        <v>1372</v>
      </c>
      <c r="H417" s="8" t="s">
        <v>1373</v>
      </c>
    </row>
    <row r="418">
      <c r="A418" s="3">
        <v>10417.0</v>
      </c>
      <c r="B418" s="8" t="s">
        <v>295</v>
      </c>
      <c r="C418" s="8" t="s">
        <v>296</v>
      </c>
      <c r="D418" s="26" t="s">
        <v>1374</v>
      </c>
      <c r="E418" s="8" t="s">
        <v>1375</v>
      </c>
      <c r="F418" s="8" t="s">
        <v>1376</v>
      </c>
      <c r="G418" s="8" t="s">
        <v>1377</v>
      </c>
      <c r="H418" s="8" t="s">
        <v>1378</v>
      </c>
    </row>
    <row r="419">
      <c r="A419" s="3">
        <v>10418.0</v>
      </c>
      <c r="B419" s="8" t="s">
        <v>295</v>
      </c>
      <c r="C419" s="8" t="s">
        <v>296</v>
      </c>
      <c r="D419" s="26" t="s">
        <v>984</v>
      </c>
      <c r="E419" s="8" t="s">
        <v>985</v>
      </c>
      <c r="F419" s="8" t="s">
        <v>986</v>
      </c>
      <c r="G419" s="8" t="s">
        <v>1379</v>
      </c>
      <c r="H419" s="8" t="s">
        <v>1380</v>
      </c>
    </row>
    <row r="420">
      <c r="A420" s="3">
        <v>10419.0</v>
      </c>
      <c r="B420" s="8" t="s">
        <v>295</v>
      </c>
      <c r="C420" s="8" t="s">
        <v>296</v>
      </c>
      <c r="D420" s="26" t="s">
        <v>1381</v>
      </c>
      <c r="E420" s="8" t="s">
        <v>1382</v>
      </c>
      <c r="F420" s="8" t="s">
        <v>1383</v>
      </c>
      <c r="G420" s="8" t="s">
        <v>1384</v>
      </c>
      <c r="H420" s="8" t="s">
        <v>1385</v>
      </c>
    </row>
    <row r="421">
      <c r="A421" s="3">
        <v>10420.0</v>
      </c>
      <c r="B421" s="8" t="s">
        <v>295</v>
      </c>
      <c r="C421" s="8" t="s">
        <v>296</v>
      </c>
      <c r="D421" s="26" t="s">
        <v>897</v>
      </c>
      <c r="E421" s="8" t="s">
        <v>898</v>
      </c>
      <c r="F421" s="8" t="s">
        <v>899</v>
      </c>
      <c r="G421" s="8" t="s">
        <v>1386</v>
      </c>
      <c r="H421" s="8" t="s">
        <v>1387</v>
      </c>
    </row>
    <row r="422">
      <c r="A422" s="3">
        <v>10421.0</v>
      </c>
      <c r="B422" s="8" t="s">
        <v>8</v>
      </c>
      <c r="C422" s="8" t="s">
        <v>9</v>
      </c>
      <c r="D422" s="26" t="s">
        <v>484</v>
      </c>
      <c r="E422" s="8" t="s">
        <v>485</v>
      </c>
      <c r="F422" s="8" t="s">
        <v>484</v>
      </c>
      <c r="G422" s="8" t="s">
        <v>1388</v>
      </c>
      <c r="H422" s="8" t="s">
        <v>1389</v>
      </c>
    </row>
    <row r="423">
      <c r="A423" s="3">
        <v>10422.0</v>
      </c>
      <c r="B423" s="8" t="s">
        <v>8</v>
      </c>
      <c r="C423" s="8" t="s">
        <v>9</v>
      </c>
      <c r="D423" s="26" t="s">
        <v>327</v>
      </c>
      <c r="E423" s="8" t="s">
        <v>328</v>
      </c>
      <c r="F423" s="8" t="s">
        <v>327</v>
      </c>
      <c r="G423" s="8" t="s">
        <v>1390</v>
      </c>
      <c r="H423" s="8" t="s">
        <v>1391</v>
      </c>
    </row>
    <row r="424">
      <c r="A424" s="3">
        <v>10423.0</v>
      </c>
      <c r="B424" s="8" t="s">
        <v>8</v>
      </c>
      <c r="C424" s="8" t="s">
        <v>9</v>
      </c>
      <c r="D424" s="26" t="s">
        <v>506</v>
      </c>
      <c r="E424" s="8" t="s">
        <v>507</v>
      </c>
      <c r="F424" s="8" t="s">
        <v>508</v>
      </c>
      <c r="G424" s="8" t="s">
        <v>1392</v>
      </c>
      <c r="H424" s="8" t="s">
        <v>1393</v>
      </c>
    </row>
    <row r="425">
      <c r="A425" s="3">
        <v>10424.0</v>
      </c>
      <c r="B425" s="8" t="s">
        <v>8</v>
      </c>
      <c r="C425" s="8" t="s">
        <v>9</v>
      </c>
      <c r="D425" s="26" t="s">
        <v>513</v>
      </c>
      <c r="E425" s="8" t="s">
        <v>514</v>
      </c>
      <c r="F425" s="8" t="s">
        <v>515</v>
      </c>
      <c r="G425" s="8" t="s">
        <v>1394</v>
      </c>
      <c r="H425" s="8" t="s">
        <v>1395</v>
      </c>
    </row>
    <row r="426">
      <c r="A426" s="3">
        <v>10425.0</v>
      </c>
      <c r="B426" s="8" t="s">
        <v>8</v>
      </c>
      <c r="C426" s="8" t="s">
        <v>9</v>
      </c>
      <c r="D426" s="26" t="s">
        <v>52</v>
      </c>
      <c r="E426" s="8" t="s">
        <v>53</v>
      </c>
      <c r="F426" s="8" t="s">
        <v>54</v>
      </c>
      <c r="G426" s="8" t="s">
        <v>1396</v>
      </c>
      <c r="H426" s="8" t="s">
        <v>1397</v>
      </c>
    </row>
    <row r="427">
      <c r="A427" s="3">
        <v>10426.0</v>
      </c>
      <c r="B427" s="8" t="s">
        <v>8</v>
      </c>
      <c r="C427" s="8" t="s">
        <v>9</v>
      </c>
      <c r="D427" s="26" t="s">
        <v>331</v>
      </c>
      <c r="E427" s="8" t="s">
        <v>332</v>
      </c>
      <c r="F427" s="8" t="s">
        <v>331</v>
      </c>
      <c r="G427" s="8" t="s">
        <v>1398</v>
      </c>
      <c r="H427" s="8" t="s">
        <v>1399</v>
      </c>
    </row>
    <row r="428">
      <c r="A428" s="3">
        <v>10427.0</v>
      </c>
      <c r="B428" s="8" t="s">
        <v>8</v>
      </c>
      <c r="C428" s="8" t="s">
        <v>9</v>
      </c>
      <c r="D428" s="26" t="s">
        <v>304</v>
      </c>
      <c r="E428" s="8" t="s">
        <v>305</v>
      </c>
      <c r="F428" s="8" t="s">
        <v>304</v>
      </c>
      <c r="G428" s="8" t="s">
        <v>1400</v>
      </c>
      <c r="H428" s="8" t="s">
        <v>1401</v>
      </c>
    </row>
    <row r="429">
      <c r="A429" s="3">
        <v>10428.0</v>
      </c>
      <c r="B429" s="8" t="s">
        <v>8</v>
      </c>
      <c r="C429" s="8" t="s">
        <v>9</v>
      </c>
      <c r="D429" s="26" t="s">
        <v>347</v>
      </c>
      <c r="E429" s="11" t="s">
        <v>348</v>
      </c>
      <c r="F429" s="12" t="s">
        <v>349</v>
      </c>
      <c r="G429" s="8" t="s">
        <v>1402</v>
      </c>
      <c r="H429" s="8" t="s">
        <v>1403</v>
      </c>
    </row>
    <row r="430">
      <c r="A430" s="3">
        <v>10429.0</v>
      </c>
      <c r="B430" s="8" t="s">
        <v>8</v>
      </c>
      <c r="C430" s="8" t="s">
        <v>9</v>
      </c>
      <c r="D430" s="26" t="s">
        <v>263</v>
      </c>
      <c r="E430" s="8" t="s">
        <v>264</v>
      </c>
      <c r="F430" s="8" t="s">
        <v>265</v>
      </c>
      <c r="G430" s="8" t="s">
        <v>1404</v>
      </c>
      <c r="H430" s="8" t="s">
        <v>1405</v>
      </c>
    </row>
    <row r="431">
      <c r="A431" s="3">
        <v>10430.0</v>
      </c>
      <c r="B431" s="8" t="s">
        <v>8</v>
      </c>
      <c r="C431" s="8" t="s">
        <v>9</v>
      </c>
      <c r="D431" s="26" t="s">
        <v>290</v>
      </c>
      <c r="E431" s="8" t="s">
        <v>291</v>
      </c>
      <c r="F431" s="8" t="s">
        <v>292</v>
      </c>
      <c r="G431" s="8" t="s">
        <v>1406</v>
      </c>
      <c r="H431" s="8" t="s">
        <v>1407</v>
      </c>
    </row>
    <row r="432">
      <c r="A432" s="3">
        <v>10431.0</v>
      </c>
      <c r="B432" s="8" t="s">
        <v>8</v>
      </c>
      <c r="C432" s="8" t="s">
        <v>9</v>
      </c>
      <c r="D432" s="26" t="s">
        <v>72</v>
      </c>
      <c r="E432" s="8" t="s">
        <v>73</v>
      </c>
      <c r="F432" s="8" t="s">
        <v>74</v>
      </c>
      <c r="G432" s="8" t="s">
        <v>1408</v>
      </c>
      <c r="H432" s="8" t="s">
        <v>1409</v>
      </c>
    </row>
    <row r="433">
      <c r="A433" s="3">
        <v>10432.0</v>
      </c>
      <c r="B433" s="8" t="s">
        <v>8</v>
      </c>
      <c r="C433" s="8" t="s">
        <v>9</v>
      </c>
      <c r="D433" s="26" t="s">
        <v>25</v>
      </c>
      <c r="E433" s="8" t="s">
        <v>26</v>
      </c>
      <c r="F433" s="8" t="s">
        <v>27</v>
      </c>
      <c r="G433" s="8" t="s">
        <v>1410</v>
      </c>
      <c r="H433" s="8" t="s">
        <v>1411</v>
      </c>
    </row>
    <row r="434">
      <c r="A434" s="3">
        <v>10433.0</v>
      </c>
      <c r="B434" s="8" t="s">
        <v>8</v>
      </c>
      <c r="C434" s="8" t="s">
        <v>9</v>
      </c>
      <c r="D434" s="26" t="s">
        <v>96</v>
      </c>
      <c r="E434" s="8" t="s">
        <v>97</v>
      </c>
      <c r="F434" s="8" t="s">
        <v>98</v>
      </c>
      <c r="G434" s="8" t="s">
        <v>1412</v>
      </c>
      <c r="H434" s="8" t="s">
        <v>1413</v>
      </c>
    </row>
    <row r="435">
      <c r="A435" s="3">
        <v>10434.0</v>
      </c>
      <c r="B435" s="8" t="s">
        <v>8</v>
      </c>
      <c r="C435" s="8" t="s">
        <v>9</v>
      </c>
      <c r="D435" s="26" t="s">
        <v>35</v>
      </c>
      <c r="E435" s="8" t="s">
        <v>36</v>
      </c>
      <c r="F435" s="8" t="s">
        <v>37</v>
      </c>
      <c r="G435" s="8" t="s">
        <v>1414</v>
      </c>
      <c r="H435" s="8" t="s">
        <v>1415</v>
      </c>
    </row>
    <row r="436">
      <c r="A436" s="3">
        <v>10435.0</v>
      </c>
      <c r="B436" s="8" t="s">
        <v>50</v>
      </c>
      <c r="C436" s="8" t="s">
        <v>51</v>
      </c>
      <c r="D436" s="26" t="s">
        <v>359</v>
      </c>
      <c r="E436" s="8" t="s">
        <v>360</v>
      </c>
      <c r="F436" s="8" t="s">
        <v>361</v>
      </c>
      <c r="G436" s="8" t="s">
        <v>1416</v>
      </c>
      <c r="H436" s="8" t="s">
        <v>1417</v>
      </c>
    </row>
    <row r="437">
      <c r="A437" s="3">
        <v>10436.0</v>
      </c>
      <c r="B437" s="8" t="s">
        <v>50</v>
      </c>
      <c r="C437" s="8" t="s">
        <v>51</v>
      </c>
      <c r="D437" s="26" t="s">
        <v>342</v>
      </c>
      <c r="E437" s="8" t="s">
        <v>343</v>
      </c>
      <c r="F437" s="8" t="s">
        <v>344</v>
      </c>
      <c r="G437" s="8" t="s">
        <v>1418</v>
      </c>
      <c r="H437" s="8" t="s">
        <v>1419</v>
      </c>
    </row>
    <row r="438">
      <c r="A438" s="3">
        <v>10437.0</v>
      </c>
      <c r="B438" s="8" t="s">
        <v>50</v>
      </c>
      <c r="C438" s="8" t="s">
        <v>51</v>
      </c>
      <c r="D438" s="26" t="s">
        <v>62</v>
      </c>
      <c r="E438" s="8" t="s">
        <v>63</v>
      </c>
      <c r="F438" s="8" t="s">
        <v>64</v>
      </c>
      <c r="G438" s="8" t="s">
        <v>1420</v>
      </c>
      <c r="H438" s="8" t="s">
        <v>1421</v>
      </c>
    </row>
    <row r="439">
      <c r="A439" s="3">
        <v>10438.0</v>
      </c>
      <c r="B439" s="8" t="s">
        <v>50</v>
      </c>
      <c r="C439" s="8" t="s">
        <v>51</v>
      </c>
      <c r="D439" s="26" t="s">
        <v>1422</v>
      </c>
      <c r="E439" s="8" t="s">
        <v>1423</v>
      </c>
      <c r="F439" s="8" t="s">
        <v>1422</v>
      </c>
      <c r="G439" s="8" t="s">
        <v>1424</v>
      </c>
      <c r="H439" s="8" t="s">
        <v>1425</v>
      </c>
    </row>
    <row r="440">
      <c r="A440" s="3">
        <v>10439.0</v>
      </c>
      <c r="B440" s="8" t="s">
        <v>50</v>
      </c>
      <c r="C440" s="8" t="s">
        <v>51</v>
      </c>
      <c r="D440" s="26" t="s">
        <v>552</v>
      </c>
      <c r="E440" s="8" t="s">
        <v>553</v>
      </c>
      <c r="F440" s="8" t="s">
        <v>554</v>
      </c>
      <c r="G440" s="8" t="s">
        <v>1426</v>
      </c>
      <c r="H440" s="8" t="s">
        <v>1427</v>
      </c>
    </row>
    <row r="441">
      <c r="A441" s="3">
        <v>10440.0</v>
      </c>
      <c r="B441" s="8" t="s">
        <v>50</v>
      </c>
      <c r="C441" s="8" t="s">
        <v>51</v>
      </c>
      <c r="D441" s="26" t="s">
        <v>559</v>
      </c>
      <c r="E441" s="8" t="s">
        <v>560</v>
      </c>
      <c r="F441" s="8" t="s">
        <v>561</v>
      </c>
      <c r="G441" s="8" t="s">
        <v>1428</v>
      </c>
      <c r="H441" s="8" t="s">
        <v>1429</v>
      </c>
    </row>
    <row r="442">
      <c r="A442" s="3">
        <v>10441.0</v>
      </c>
      <c r="B442" s="8" t="s">
        <v>50</v>
      </c>
      <c r="C442" s="8" t="s">
        <v>51</v>
      </c>
      <c r="D442" s="26" t="s">
        <v>371</v>
      </c>
      <c r="E442" s="8" t="s">
        <v>372</v>
      </c>
      <c r="F442" s="8" t="s">
        <v>373</v>
      </c>
      <c r="G442" s="8" t="s">
        <v>1430</v>
      </c>
      <c r="H442" s="8" t="s">
        <v>1431</v>
      </c>
    </row>
    <row r="443">
      <c r="A443" s="3">
        <v>10442.0</v>
      </c>
      <c r="B443" s="8" t="s">
        <v>50</v>
      </c>
      <c r="C443" s="8" t="s">
        <v>51</v>
      </c>
      <c r="D443" s="26" t="s">
        <v>616</v>
      </c>
      <c r="E443" s="8" t="s">
        <v>1214</v>
      </c>
      <c r="F443" s="8" t="s">
        <v>1215</v>
      </c>
      <c r="G443" s="8" t="s">
        <v>1432</v>
      </c>
      <c r="H443" s="8" t="s">
        <v>1433</v>
      </c>
    </row>
    <row r="444">
      <c r="A444" s="3">
        <v>10443.0</v>
      </c>
      <c r="B444" s="8" t="s">
        <v>50</v>
      </c>
      <c r="C444" s="8" t="s">
        <v>51</v>
      </c>
      <c r="D444" s="26" t="s">
        <v>542</v>
      </c>
      <c r="E444" s="8" t="s">
        <v>543</v>
      </c>
      <c r="F444" s="8" t="s">
        <v>544</v>
      </c>
      <c r="G444" s="8" t="s">
        <v>1434</v>
      </c>
      <c r="H444" s="8" t="s">
        <v>1435</v>
      </c>
    </row>
    <row r="445">
      <c r="A445" s="3">
        <v>10444.0</v>
      </c>
      <c r="B445" s="8" t="s">
        <v>50</v>
      </c>
      <c r="C445" s="8" t="s">
        <v>51</v>
      </c>
      <c r="D445" s="26" t="s">
        <v>366</v>
      </c>
      <c r="E445" s="8" t="s">
        <v>367</v>
      </c>
      <c r="F445" s="8" t="s">
        <v>368</v>
      </c>
      <c r="G445" s="8" t="s">
        <v>1436</v>
      </c>
      <c r="H445" s="8" t="s">
        <v>1437</v>
      </c>
    </row>
    <row r="446">
      <c r="A446" s="3">
        <v>10445.0</v>
      </c>
      <c r="B446" s="8" t="s">
        <v>50</v>
      </c>
      <c r="C446" s="8" t="s">
        <v>51</v>
      </c>
      <c r="D446" s="26" t="s">
        <v>864</v>
      </c>
      <c r="E446" s="8" t="s">
        <v>382</v>
      </c>
      <c r="F446" s="8" t="s">
        <v>383</v>
      </c>
      <c r="G446" s="8" t="s">
        <v>1438</v>
      </c>
      <c r="H446" s="8" t="s">
        <v>1439</v>
      </c>
    </row>
    <row r="447">
      <c r="A447" s="3">
        <v>10446.0</v>
      </c>
      <c r="B447" s="8" t="s">
        <v>50</v>
      </c>
      <c r="C447" s="8" t="s">
        <v>51</v>
      </c>
      <c r="D447" s="26" t="s">
        <v>1226</v>
      </c>
      <c r="E447" s="8" t="s">
        <v>1227</v>
      </c>
      <c r="F447" s="8" t="s">
        <v>1228</v>
      </c>
      <c r="G447" s="8" t="s">
        <v>1440</v>
      </c>
      <c r="H447" s="8" t="s">
        <v>1441</v>
      </c>
    </row>
    <row r="448">
      <c r="A448" s="3">
        <v>10447.0</v>
      </c>
      <c r="B448" s="8" t="s">
        <v>50</v>
      </c>
      <c r="C448" s="8" t="s">
        <v>51</v>
      </c>
      <c r="D448" s="26" t="s">
        <v>574</v>
      </c>
      <c r="E448" s="8" t="s">
        <v>575</v>
      </c>
      <c r="F448" s="8" t="s">
        <v>576</v>
      </c>
      <c r="G448" s="8" t="s">
        <v>1442</v>
      </c>
      <c r="H448" s="8" t="s">
        <v>1443</v>
      </c>
    </row>
    <row r="449">
      <c r="A449" s="3">
        <v>10448.0</v>
      </c>
      <c r="B449" s="8" t="s">
        <v>302</v>
      </c>
      <c r="C449" s="8" t="s">
        <v>303</v>
      </c>
      <c r="D449" s="26" t="s">
        <v>484</v>
      </c>
      <c r="E449" s="8" t="s">
        <v>485</v>
      </c>
      <c r="F449" s="8" t="s">
        <v>484</v>
      </c>
      <c r="G449" s="8" t="s">
        <v>1444</v>
      </c>
      <c r="H449" s="8" t="s">
        <v>1445</v>
      </c>
    </row>
    <row r="450">
      <c r="A450" s="3">
        <v>10449.0</v>
      </c>
      <c r="B450" s="8" t="s">
        <v>302</v>
      </c>
      <c r="C450" s="8" t="s">
        <v>303</v>
      </c>
      <c r="D450" s="26" t="s">
        <v>304</v>
      </c>
      <c r="E450" s="8" t="s">
        <v>305</v>
      </c>
      <c r="F450" s="8" t="s">
        <v>304</v>
      </c>
      <c r="G450" s="8" t="s">
        <v>1446</v>
      </c>
      <c r="H450" s="8" t="s">
        <v>1447</v>
      </c>
    </row>
    <row r="451">
      <c r="A451" s="3">
        <v>10450.0</v>
      </c>
      <c r="B451" s="8" t="s">
        <v>302</v>
      </c>
      <c r="C451" s="8" t="s">
        <v>303</v>
      </c>
      <c r="D451" s="26" t="s">
        <v>513</v>
      </c>
      <c r="E451" s="8" t="s">
        <v>514</v>
      </c>
      <c r="F451" s="8" t="s">
        <v>515</v>
      </c>
      <c r="G451" s="8" t="s">
        <v>1448</v>
      </c>
      <c r="H451" s="8" t="s">
        <v>1449</v>
      </c>
    </row>
    <row r="452">
      <c r="A452" s="3">
        <v>10451.0</v>
      </c>
      <c r="B452" s="8" t="s">
        <v>302</v>
      </c>
      <c r="C452" s="8" t="s">
        <v>303</v>
      </c>
      <c r="D452" s="26" t="s">
        <v>648</v>
      </c>
      <c r="E452" s="8" t="s">
        <v>649</v>
      </c>
      <c r="F452" s="8" t="s">
        <v>648</v>
      </c>
      <c r="G452" s="8" t="s">
        <v>1450</v>
      </c>
      <c r="H452" s="8" t="s">
        <v>1451</v>
      </c>
    </row>
    <row r="453">
      <c r="A453" s="3">
        <v>10452.0</v>
      </c>
      <c r="B453" s="8" t="s">
        <v>302</v>
      </c>
      <c r="C453" s="8" t="s">
        <v>303</v>
      </c>
      <c r="D453" s="26" t="s">
        <v>410</v>
      </c>
      <c r="E453" s="8" t="s">
        <v>411</v>
      </c>
      <c r="F453" s="8" t="s">
        <v>410</v>
      </c>
      <c r="G453" s="8" t="s">
        <v>1452</v>
      </c>
      <c r="H453" s="8" t="s">
        <v>1453</v>
      </c>
    </row>
    <row r="454">
      <c r="A454" s="3">
        <v>10453.0</v>
      </c>
      <c r="B454" s="8" t="s">
        <v>302</v>
      </c>
      <c r="C454" s="8" t="s">
        <v>303</v>
      </c>
      <c r="D454" s="26" t="s">
        <v>399</v>
      </c>
      <c r="E454" s="8" t="s">
        <v>400</v>
      </c>
      <c r="F454" s="8" t="s">
        <v>399</v>
      </c>
      <c r="G454" s="8" t="s">
        <v>1454</v>
      </c>
      <c r="H454" s="8" t="s">
        <v>1455</v>
      </c>
    </row>
    <row r="455">
      <c r="A455" s="3">
        <v>10454.0</v>
      </c>
      <c r="B455" s="8" t="s">
        <v>302</v>
      </c>
      <c r="C455" s="8" t="s">
        <v>303</v>
      </c>
      <c r="D455" s="26" t="s">
        <v>45</v>
      </c>
      <c r="E455" s="8" t="s">
        <v>46</v>
      </c>
      <c r="F455" s="8" t="s">
        <v>47</v>
      </c>
      <c r="G455" s="8" t="s">
        <v>1456</v>
      </c>
      <c r="H455" s="8" t="s">
        <v>1457</v>
      </c>
    </row>
    <row r="456">
      <c r="A456" s="3">
        <v>10455.0</v>
      </c>
      <c r="B456" s="8" t="s">
        <v>302</v>
      </c>
      <c r="C456" s="8" t="s">
        <v>303</v>
      </c>
      <c r="D456" s="26" t="s">
        <v>25</v>
      </c>
      <c r="E456" s="8" t="s">
        <v>26</v>
      </c>
      <c r="F456" s="8" t="s">
        <v>27</v>
      </c>
      <c r="G456" s="8" t="s">
        <v>1458</v>
      </c>
      <c r="H456" s="8" t="s">
        <v>1459</v>
      </c>
    </row>
    <row r="457">
      <c r="A457" s="3">
        <v>10456.0</v>
      </c>
      <c r="B457" s="8" t="s">
        <v>302</v>
      </c>
      <c r="C457" s="8" t="s">
        <v>303</v>
      </c>
      <c r="D457" s="26" t="s">
        <v>62</v>
      </c>
      <c r="E457" s="8" t="s">
        <v>63</v>
      </c>
      <c r="F457" s="8" t="s">
        <v>64</v>
      </c>
      <c r="G457" s="8" t="s">
        <v>1460</v>
      </c>
      <c r="H457" s="8" t="s">
        <v>1461</v>
      </c>
    </row>
    <row r="458">
      <c r="A458" s="3">
        <v>10457.0</v>
      </c>
      <c r="B458" s="8" t="s">
        <v>302</v>
      </c>
      <c r="C458" s="8" t="s">
        <v>303</v>
      </c>
      <c r="D458" s="26" t="s">
        <v>376</v>
      </c>
      <c r="E458" s="8" t="s">
        <v>377</v>
      </c>
      <c r="F458" s="8" t="s">
        <v>378</v>
      </c>
      <c r="G458" s="8" t="s">
        <v>1462</v>
      </c>
      <c r="H458" s="8" t="s">
        <v>1463</v>
      </c>
    </row>
    <row r="459">
      <c r="A459" s="3">
        <v>10458.0</v>
      </c>
      <c r="B459" s="8" t="s">
        <v>302</v>
      </c>
      <c r="C459" s="8" t="s">
        <v>303</v>
      </c>
      <c r="D459" s="26" t="s">
        <v>52</v>
      </c>
      <c r="E459" s="8" t="s">
        <v>53</v>
      </c>
      <c r="F459" s="8" t="s">
        <v>54</v>
      </c>
      <c r="G459" s="8" t="s">
        <v>1464</v>
      </c>
      <c r="H459" s="8" t="s">
        <v>1465</v>
      </c>
    </row>
    <row r="460">
      <c r="A460" s="3">
        <v>10459.0</v>
      </c>
      <c r="B460" s="8" t="s">
        <v>302</v>
      </c>
      <c r="C460" s="8" t="s">
        <v>303</v>
      </c>
      <c r="D460" s="26" t="s">
        <v>663</v>
      </c>
      <c r="E460" s="8" t="s">
        <v>664</v>
      </c>
      <c r="F460" s="8" t="s">
        <v>663</v>
      </c>
      <c r="G460" s="8" t="s">
        <v>1466</v>
      </c>
      <c r="H460" s="8" t="s">
        <v>1467</v>
      </c>
    </row>
    <row r="461">
      <c r="A461" s="3">
        <v>10460.0</v>
      </c>
      <c r="B461" s="8" t="s">
        <v>302</v>
      </c>
      <c r="C461" s="8" t="s">
        <v>303</v>
      </c>
      <c r="D461" s="26" t="s">
        <v>347</v>
      </c>
      <c r="E461" s="11" t="s">
        <v>348</v>
      </c>
      <c r="F461" s="12" t="s">
        <v>349</v>
      </c>
      <c r="G461" s="8" t="s">
        <v>1468</v>
      </c>
      <c r="H461" s="8" t="s">
        <v>1469</v>
      </c>
    </row>
    <row r="462">
      <c r="A462" s="3">
        <v>10461.0</v>
      </c>
      <c r="B462" s="8" t="s">
        <v>308</v>
      </c>
      <c r="C462" s="8" t="s">
        <v>309</v>
      </c>
      <c r="D462" s="26" t="s">
        <v>423</v>
      </c>
      <c r="E462" s="8" t="s">
        <v>424</v>
      </c>
      <c r="F462" s="8" t="s">
        <v>425</v>
      </c>
      <c r="G462" s="8" t="s">
        <v>1470</v>
      </c>
      <c r="H462" s="8" t="s">
        <v>1471</v>
      </c>
    </row>
    <row r="463">
      <c r="A463" s="3">
        <v>10462.0</v>
      </c>
      <c r="B463" s="8" t="s">
        <v>308</v>
      </c>
      <c r="C463" s="8" t="s">
        <v>309</v>
      </c>
      <c r="D463" s="26" t="s">
        <v>268</v>
      </c>
      <c r="E463" s="8" t="s">
        <v>269</v>
      </c>
      <c r="F463" s="8" t="s">
        <v>270</v>
      </c>
      <c r="G463" s="8" t="s">
        <v>1472</v>
      </c>
      <c r="H463" s="8" t="s">
        <v>1473</v>
      </c>
    </row>
    <row r="464">
      <c r="A464" s="3">
        <v>10463.0</v>
      </c>
      <c r="B464" s="8" t="s">
        <v>308</v>
      </c>
      <c r="C464" s="8" t="s">
        <v>309</v>
      </c>
      <c r="D464" s="26" t="s">
        <v>213</v>
      </c>
      <c r="E464" s="8" t="s">
        <v>214</v>
      </c>
      <c r="F464" s="8" t="s">
        <v>215</v>
      </c>
      <c r="G464" s="8" t="s">
        <v>1474</v>
      </c>
      <c r="H464" s="8" t="s">
        <v>1475</v>
      </c>
    </row>
    <row r="465">
      <c r="A465" s="3">
        <v>10464.0</v>
      </c>
      <c r="B465" s="8" t="s">
        <v>308</v>
      </c>
      <c r="C465" s="8" t="s">
        <v>309</v>
      </c>
      <c r="D465" s="26" t="s">
        <v>403</v>
      </c>
      <c r="E465" s="8" t="s">
        <v>404</v>
      </c>
      <c r="F465" s="8" t="s">
        <v>405</v>
      </c>
      <c r="G465" s="8" t="s">
        <v>1476</v>
      </c>
      <c r="H465" s="8" t="s">
        <v>1477</v>
      </c>
    </row>
    <row r="466">
      <c r="A466" s="3">
        <v>10465.0</v>
      </c>
      <c r="B466" s="8" t="s">
        <v>308</v>
      </c>
      <c r="C466" s="8" t="s">
        <v>309</v>
      </c>
      <c r="D466" s="26" t="s">
        <v>430</v>
      </c>
      <c r="E466" s="8" t="s">
        <v>431</v>
      </c>
      <c r="F466" s="8" t="s">
        <v>432</v>
      </c>
      <c r="G466" s="8" t="s">
        <v>1478</v>
      </c>
      <c r="H466" s="8" t="s">
        <v>1479</v>
      </c>
    </row>
    <row r="467">
      <c r="A467" s="3">
        <v>10466.0</v>
      </c>
      <c r="B467" s="8" t="s">
        <v>308</v>
      </c>
      <c r="C467" s="8" t="s">
        <v>309</v>
      </c>
      <c r="D467" s="26" t="s">
        <v>101</v>
      </c>
      <c r="E467" s="8" t="s">
        <v>102</v>
      </c>
      <c r="F467" s="8" t="s">
        <v>103</v>
      </c>
      <c r="G467" s="8" t="s">
        <v>1480</v>
      </c>
      <c r="H467" s="8" t="s">
        <v>1481</v>
      </c>
    </row>
    <row r="468">
      <c r="A468" s="3">
        <v>10467.0</v>
      </c>
      <c r="B468" s="8" t="s">
        <v>308</v>
      </c>
      <c r="C468" s="8" t="s">
        <v>309</v>
      </c>
      <c r="D468" s="26" t="s">
        <v>123</v>
      </c>
      <c r="E468" s="8" t="s">
        <v>124</v>
      </c>
      <c r="F468" s="8" t="s">
        <v>125</v>
      </c>
      <c r="G468" s="8" t="s">
        <v>1482</v>
      </c>
      <c r="H468" s="8" t="s">
        <v>277</v>
      </c>
    </row>
    <row r="469">
      <c r="A469" s="3">
        <v>10468.0</v>
      </c>
      <c r="B469" s="8" t="s">
        <v>308</v>
      </c>
      <c r="C469" s="8" t="s">
        <v>309</v>
      </c>
      <c r="D469" s="26" t="s">
        <v>388</v>
      </c>
      <c r="E469" s="8" t="s">
        <v>389</v>
      </c>
      <c r="F469" s="8" t="s">
        <v>390</v>
      </c>
      <c r="G469" s="8" t="s">
        <v>1483</v>
      </c>
      <c r="H469" s="8" t="s">
        <v>1484</v>
      </c>
    </row>
    <row r="470">
      <c r="A470" s="3">
        <v>10469.0</v>
      </c>
      <c r="B470" s="8" t="s">
        <v>308</v>
      </c>
      <c r="C470" s="8" t="s">
        <v>309</v>
      </c>
      <c r="D470" s="26" t="s">
        <v>278</v>
      </c>
      <c r="E470" s="8" t="s">
        <v>279</v>
      </c>
      <c r="F470" s="8" t="s">
        <v>1306</v>
      </c>
      <c r="G470" s="8" t="s">
        <v>1485</v>
      </c>
      <c r="H470" s="8" t="s">
        <v>1486</v>
      </c>
    </row>
    <row r="471">
      <c r="A471" s="3">
        <v>10470.0</v>
      </c>
      <c r="B471" s="8" t="s">
        <v>308</v>
      </c>
      <c r="C471" s="8" t="s">
        <v>309</v>
      </c>
      <c r="D471" s="26" t="s">
        <v>1042</v>
      </c>
      <c r="E471" s="8" t="s">
        <v>1043</v>
      </c>
      <c r="F471" s="8" t="s">
        <v>1044</v>
      </c>
      <c r="G471" s="8" t="s">
        <v>1487</v>
      </c>
      <c r="H471" s="8" t="s">
        <v>1488</v>
      </c>
    </row>
    <row r="472">
      <c r="A472" s="3">
        <v>10471.0</v>
      </c>
      <c r="B472" s="8" t="s">
        <v>308</v>
      </c>
      <c r="C472" s="8" t="s">
        <v>309</v>
      </c>
      <c r="D472" s="26" t="s">
        <v>1023</v>
      </c>
      <c r="E472" s="8" t="s">
        <v>1024</v>
      </c>
      <c r="F472" s="8" t="s">
        <v>1025</v>
      </c>
      <c r="G472" s="8" t="s">
        <v>1489</v>
      </c>
      <c r="H472" s="8" t="s">
        <v>1490</v>
      </c>
    </row>
    <row r="473">
      <c r="A473" s="3">
        <v>10472.0</v>
      </c>
      <c r="B473" s="8" t="s">
        <v>308</v>
      </c>
      <c r="C473" s="8" t="s">
        <v>309</v>
      </c>
      <c r="D473" s="26" t="s">
        <v>35</v>
      </c>
      <c r="E473" s="8" t="s">
        <v>36</v>
      </c>
      <c r="F473" s="8" t="s">
        <v>37</v>
      </c>
      <c r="G473" s="8" t="s">
        <v>1491</v>
      </c>
      <c r="H473" s="8" t="s">
        <v>1492</v>
      </c>
    </row>
    <row r="474">
      <c r="A474" s="3">
        <v>10473.0</v>
      </c>
      <c r="B474" s="8" t="s">
        <v>308</v>
      </c>
      <c r="C474" s="8" t="s">
        <v>309</v>
      </c>
      <c r="D474" s="26" t="s">
        <v>695</v>
      </c>
      <c r="E474" s="8" t="s">
        <v>417</v>
      </c>
      <c r="F474" s="8" t="s">
        <v>418</v>
      </c>
      <c r="G474" s="8" t="s">
        <v>1493</v>
      </c>
      <c r="H474" s="8" t="s">
        <v>1494</v>
      </c>
    </row>
    <row r="475">
      <c r="A475" s="3">
        <v>10474.0</v>
      </c>
      <c r="B475" s="8" t="s">
        <v>308</v>
      </c>
      <c r="C475" s="8" t="s">
        <v>309</v>
      </c>
      <c r="D475" s="26" t="s">
        <v>698</v>
      </c>
      <c r="E475" s="8" t="s">
        <v>699</v>
      </c>
      <c r="F475" s="8" t="s">
        <v>700</v>
      </c>
      <c r="G475" s="8" t="s">
        <v>1495</v>
      </c>
      <c r="H475" s="8" t="s">
        <v>1496</v>
      </c>
    </row>
    <row r="476">
      <c r="A476" s="3">
        <v>10475.0</v>
      </c>
      <c r="B476" s="8" t="s">
        <v>312</v>
      </c>
      <c r="C476" s="8" t="s">
        <v>313</v>
      </c>
      <c r="D476" s="26" t="s">
        <v>45</v>
      </c>
      <c r="E476" s="8" t="s">
        <v>46</v>
      </c>
      <c r="F476" s="8" t="s">
        <v>47</v>
      </c>
      <c r="G476" s="8" t="s">
        <v>1497</v>
      </c>
      <c r="H476" s="8" t="s">
        <v>1498</v>
      </c>
    </row>
    <row r="477">
      <c r="A477" s="3">
        <v>10476.0</v>
      </c>
      <c r="B477" s="8" t="s">
        <v>312</v>
      </c>
      <c r="C477" s="8" t="s">
        <v>313</v>
      </c>
      <c r="D477" s="26" t="s">
        <v>376</v>
      </c>
      <c r="E477" s="8" t="s">
        <v>377</v>
      </c>
      <c r="F477" s="8" t="s">
        <v>378</v>
      </c>
      <c r="G477" s="8" t="s">
        <v>1499</v>
      </c>
      <c r="H477" s="8" t="s">
        <v>1500</v>
      </c>
    </row>
    <row r="478">
      <c r="A478" s="3">
        <v>10477.0</v>
      </c>
      <c r="B478" s="8" t="s">
        <v>312</v>
      </c>
      <c r="C478" s="8" t="s">
        <v>313</v>
      </c>
      <c r="D478" s="26" t="s">
        <v>452</v>
      </c>
      <c r="E478" s="8" t="s">
        <v>453</v>
      </c>
      <c r="F478" s="8" t="s">
        <v>454</v>
      </c>
      <c r="G478" s="8" t="s">
        <v>1501</v>
      </c>
      <c r="H478" s="8" t="s">
        <v>1502</v>
      </c>
    </row>
    <row r="479">
      <c r="A479" s="3">
        <v>10478.0</v>
      </c>
      <c r="B479" s="8" t="s">
        <v>312</v>
      </c>
      <c r="C479" s="8" t="s">
        <v>313</v>
      </c>
      <c r="D479" s="26" t="s">
        <v>108</v>
      </c>
      <c r="E479" s="8" t="s">
        <v>109</v>
      </c>
      <c r="F479" s="8" t="s">
        <v>110</v>
      </c>
      <c r="G479" s="8" t="s">
        <v>1503</v>
      </c>
      <c r="H479" s="8" t="s">
        <v>1504</v>
      </c>
    </row>
    <row r="480">
      <c r="A480" s="3">
        <v>10479.0</v>
      </c>
      <c r="B480" s="8" t="s">
        <v>312</v>
      </c>
      <c r="C480" s="8" t="s">
        <v>313</v>
      </c>
      <c r="D480" s="26" t="s">
        <v>96</v>
      </c>
      <c r="E480" s="8" t="s">
        <v>97</v>
      </c>
      <c r="F480" s="8" t="s">
        <v>98</v>
      </c>
      <c r="G480" s="8" t="s">
        <v>1505</v>
      </c>
      <c r="H480" s="8" t="s">
        <v>1506</v>
      </c>
    </row>
    <row r="481">
      <c r="A481" s="3">
        <v>10480.0</v>
      </c>
      <c r="B481" s="8" t="s">
        <v>312</v>
      </c>
      <c r="C481" s="8" t="s">
        <v>313</v>
      </c>
      <c r="D481" s="26" t="s">
        <v>756</v>
      </c>
      <c r="E481" s="8" t="s">
        <v>757</v>
      </c>
      <c r="F481" s="8" t="s">
        <v>758</v>
      </c>
      <c r="G481" s="8" t="s">
        <v>1507</v>
      </c>
      <c r="H481" s="8" t="s">
        <v>1508</v>
      </c>
    </row>
    <row r="482">
      <c r="A482" s="3">
        <v>10481.0</v>
      </c>
      <c r="B482" s="8" t="s">
        <v>312</v>
      </c>
      <c r="C482" s="8" t="s">
        <v>313</v>
      </c>
      <c r="D482" s="26" t="s">
        <v>751</v>
      </c>
      <c r="E482" s="8" t="s">
        <v>752</v>
      </c>
      <c r="F482" s="8" t="s">
        <v>753</v>
      </c>
      <c r="G482" s="8" t="s">
        <v>1509</v>
      </c>
      <c r="H482" s="8" t="s">
        <v>1510</v>
      </c>
    </row>
    <row r="483">
      <c r="A483" s="3">
        <v>10482.0</v>
      </c>
      <c r="B483" s="8" t="s">
        <v>312</v>
      </c>
      <c r="C483" s="8" t="s">
        <v>313</v>
      </c>
      <c r="D483" s="26" t="s">
        <v>77</v>
      </c>
      <c r="E483" s="8" t="s">
        <v>78</v>
      </c>
      <c r="F483" s="8" t="s">
        <v>79</v>
      </c>
      <c r="G483" s="8" t="s">
        <v>1511</v>
      </c>
      <c r="H483" s="8" t="s">
        <v>1512</v>
      </c>
    </row>
    <row r="484">
      <c r="A484" s="3">
        <v>10483.0</v>
      </c>
      <c r="B484" s="8" t="s">
        <v>312</v>
      </c>
      <c r="C484" s="8" t="s">
        <v>313</v>
      </c>
      <c r="D484" s="26" t="s">
        <v>777</v>
      </c>
      <c r="E484" s="8" t="s">
        <v>778</v>
      </c>
      <c r="F484" s="8" t="s">
        <v>779</v>
      </c>
      <c r="G484" s="8" t="s">
        <v>1513</v>
      </c>
      <c r="H484" s="8" t="s">
        <v>1514</v>
      </c>
    </row>
    <row r="485">
      <c r="A485" s="3">
        <v>10484.0</v>
      </c>
      <c r="B485" s="8" t="s">
        <v>312</v>
      </c>
      <c r="C485" s="8" t="s">
        <v>313</v>
      </c>
      <c r="D485" s="26" t="s">
        <v>1090</v>
      </c>
      <c r="E485" s="8" t="s">
        <v>1091</v>
      </c>
      <c r="F485" s="8" t="s">
        <v>1092</v>
      </c>
      <c r="G485" s="8" t="s">
        <v>1515</v>
      </c>
      <c r="H485" s="8" t="s">
        <v>1516</v>
      </c>
    </row>
    <row r="486">
      <c r="A486" s="3">
        <v>10485.0</v>
      </c>
      <c r="B486" s="8" t="s">
        <v>312</v>
      </c>
      <c r="C486" s="8" t="s">
        <v>313</v>
      </c>
      <c r="D486" s="26" t="s">
        <v>72</v>
      </c>
      <c r="E486" s="8" t="s">
        <v>73</v>
      </c>
      <c r="F486" s="8" t="s">
        <v>74</v>
      </c>
      <c r="G486" s="8" t="s">
        <v>1517</v>
      </c>
      <c r="H486" s="8" t="s">
        <v>1518</v>
      </c>
    </row>
    <row r="487">
      <c r="A487" s="3">
        <v>10486.0</v>
      </c>
      <c r="B487" s="8" t="s">
        <v>312</v>
      </c>
      <c r="C487" s="8" t="s">
        <v>313</v>
      </c>
      <c r="D487" s="26" t="s">
        <v>30</v>
      </c>
      <c r="E487" s="8" t="s">
        <v>31</v>
      </c>
      <c r="F487" s="8" t="s">
        <v>32</v>
      </c>
      <c r="G487" s="8" t="s">
        <v>1519</v>
      </c>
      <c r="H487" s="8" t="s">
        <v>1520</v>
      </c>
    </row>
    <row r="488">
      <c r="A488" s="3">
        <v>10487.0</v>
      </c>
      <c r="B488" s="8" t="s">
        <v>312</v>
      </c>
      <c r="C488" s="8" t="s">
        <v>313</v>
      </c>
      <c r="D488" s="26" t="s">
        <v>62</v>
      </c>
      <c r="E488" s="8" t="s">
        <v>63</v>
      </c>
      <c r="F488" s="8" t="s">
        <v>64</v>
      </c>
      <c r="G488" s="8" t="s">
        <v>1521</v>
      </c>
      <c r="H488" s="8" t="s">
        <v>1522</v>
      </c>
    </row>
    <row r="489">
      <c r="A489" s="3">
        <v>10488.0</v>
      </c>
      <c r="B489" s="8" t="s">
        <v>295</v>
      </c>
      <c r="C489" s="8" t="s">
        <v>296</v>
      </c>
      <c r="D489" s="26" t="s">
        <v>304</v>
      </c>
      <c r="E489" s="8" t="s">
        <v>305</v>
      </c>
      <c r="F489" s="8" t="s">
        <v>304</v>
      </c>
      <c r="G489" s="8" t="s">
        <v>1523</v>
      </c>
      <c r="H489" s="8" t="s">
        <v>1524</v>
      </c>
    </row>
    <row r="490">
      <c r="A490" s="3">
        <v>10489.0</v>
      </c>
      <c r="B490" s="8" t="s">
        <v>295</v>
      </c>
      <c r="C490" s="8" t="s">
        <v>296</v>
      </c>
      <c r="D490" s="26" t="s">
        <v>321</v>
      </c>
      <c r="E490" s="8" t="s">
        <v>322</v>
      </c>
      <c r="F490" s="8" t="s">
        <v>321</v>
      </c>
      <c r="G490" s="8" t="s">
        <v>1525</v>
      </c>
      <c r="H490" s="8" t="s">
        <v>1526</v>
      </c>
    </row>
    <row r="491">
      <c r="A491" s="3">
        <v>10490.0</v>
      </c>
      <c r="B491" s="8" t="s">
        <v>295</v>
      </c>
      <c r="C491" s="8" t="s">
        <v>296</v>
      </c>
      <c r="D491" s="26" t="s">
        <v>331</v>
      </c>
      <c r="E491" s="8" t="s">
        <v>332</v>
      </c>
      <c r="F491" s="8" t="s">
        <v>331</v>
      </c>
      <c r="G491" s="8" t="s">
        <v>1527</v>
      </c>
      <c r="H491" s="8" t="s">
        <v>1528</v>
      </c>
    </row>
    <row r="492">
      <c r="A492" s="3">
        <v>10491.0</v>
      </c>
      <c r="B492" s="8" t="s">
        <v>295</v>
      </c>
      <c r="C492" s="8" t="s">
        <v>296</v>
      </c>
      <c r="D492" s="26" t="s">
        <v>643</v>
      </c>
      <c r="E492" s="8" t="s">
        <v>644</v>
      </c>
      <c r="F492" s="8" t="s">
        <v>645</v>
      </c>
      <c r="G492" s="8" t="s">
        <v>1529</v>
      </c>
      <c r="H492" s="8" t="s">
        <v>1530</v>
      </c>
    </row>
    <row r="493">
      <c r="A493" s="3">
        <v>10492.0</v>
      </c>
      <c r="B493" s="8" t="s">
        <v>295</v>
      </c>
      <c r="C493" s="8" t="s">
        <v>296</v>
      </c>
      <c r="D493" s="26" t="s">
        <v>108</v>
      </c>
      <c r="E493" s="8" t="s">
        <v>109</v>
      </c>
      <c r="F493" s="8" t="s">
        <v>110</v>
      </c>
      <c r="G493" s="8" t="s">
        <v>1531</v>
      </c>
      <c r="H493" s="8" t="s">
        <v>1532</v>
      </c>
    </row>
    <row r="494">
      <c r="A494" s="3">
        <v>10493.0</v>
      </c>
      <c r="B494" s="8" t="s">
        <v>295</v>
      </c>
      <c r="C494" s="8" t="s">
        <v>296</v>
      </c>
      <c r="D494" s="26" t="s">
        <v>316</v>
      </c>
      <c r="E494" s="8" t="s">
        <v>317</v>
      </c>
      <c r="F494" s="8" t="s">
        <v>318</v>
      </c>
      <c r="G494" s="8" t="s">
        <v>1533</v>
      </c>
      <c r="H494" s="8" t="s">
        <v>1534</v>
      </c>
    </row>
    <row r="495">
      <c r="A495" s="3">
        <v>10494.0</v>
      </c>
      <c r="B495" s="8" t="s">
        <v>295</v>
      </c>
      <c r="C495" s="8" t="s">
        <v>296</v>
      </c>
      <c r="D495" s="26" t="s">
        <v>335</v>
      </c>
      <c r="E495" s="8" t="s">
        <v>336</v>
      </c>
      <c r="F495" s="8" t="s">
        <v>337</v>
      </c>
      <c r="G495" s="8" t="s">
        <v>1535</v>
      </c>
      <c r="H495" s="8" t="s">
        <v>1536</v>
      </c>
    </row>
    <row r="496">
      <c r="A496" s="3">
        <v>10495.0</v>
      </c>
      <c r="B496" s="8" t="s">
        <v>295</v>
      </c>
      <c r="C496" s="8" t="s">
        <v>296</v>
      </c>
      <c r="D496" s="26" t="s">
        <v>816</v>
      </c>
      <c r="E496" s="8" t="s">
        <v>817</v>
      </c>
      <c r="F496" s="8" t="s">
        <v>818</v>
      </c>
      <c r="G496" s="8" t="s">
        <v>1537</v>
      </c>
      <c r="H496" s="8" t="s">
        <v>1538</v>
      </c>
    </row>
    <row r="497">
      <c r="A497" s="3">
        <v>10496.0</v>
      </c>
      <c r="B497" s="8" t="s">
        <v>295</v>
      </c>
      <c r="C497" s="8" t="s">
        <v>296</v>
      </c>
      <c r="D497" s="26" t="s">
        <v>178</v>
      </c>
      <c r="E497" s="8" t="s">
        <v>179</v>
      </c>
      <c r="F497" s="8" t="s">
        <v>178</v>
      </c>
      <c r="G497" s="8" t="s">
        <v>1539</v>
      </c>
      <c r="H497" s="8" t="s">
        <v>1540</v>
      </c>
    </row>
    <row r="498">
      <c r="A498" s="3">
        <v>10497.0</v>
      </c>
      <c r="B498" s="8" t="s">
        <v>295</v>
      </c>
      <c r="C498" s="8" t="s">
        <v>296</v>
      </c>
      <c r="D498" s="26" t="s">
        <v>791</v>
      </c>
      <c r="E498" s="8" t="s">
        <v>792</v>
      </c>
      <c r="F498" s="8" t="s">
        <v>793</v>
      </c>
      <c r="G498" s="8" t="s">
        <v>1541</v>
      </c>
      <c r="H498" s="8" t="s">
        <v>1542</v>
      </c>
    </row>
    <row r="499">
      <c r="A499" s="3">
        <v>10498.0</v>
      </c>
      <c r="B499" s="8" t="s">
        <v>295</v>
      </c>
      <c r="C499" s="8" t="s">
        <v>296</v>
      </c>
      <c r="D499" s="26" t="s">
        <v>834</v>
      </c>
      <c r="E499" s="8" t="s">
        <v>835</v>
      </c>
      <c r="F499" s="8" t="s">
        <v>836</v>
      </c>
      <c r="G499" s="8" t="s">
        <v>1543</v>
      </c>
      <c r="H499" s="8" t="s">
        <v>1544</v>
      </c>
    </row>
    <row r="500">
      <c r="A500" s="3">
        <v>10499.0</v>
      </c>
      <c r="B500" s="8" t="s">
        <v>295</v>
      </c>
      <c r="C500" s="8" t="s">
        <v>296</v>
      </c>
      <c r="D500" s="26" t="s">
        <v>1381</v>
      </c>
      <c r="E500" s="8" t="s">
        <v>1382</v>
      </c>
      <c r="F500" s="8" t="s">
        <v>1383</v>
      </c>
      <c r="G500" s="8" t="s">
        <v>1545</v>
      </c>
      <c r="H500" s="8" t="s">
        <v>1546</v>
      </c>
    </row>
    <row r="501">
      <c r="A501" s="3">
        <v>10500.0</v>
      </c>
      <c r="B501" s="8" t="s">
        <v>295</v>
      </c>
      <c r="C501" s="8" t="s">
        <v>296</v>
      </c>
      <c r="D501" s="26" t="s">
        <v>823</v>
      </c>
      <c r="E501" s="8" t="s">
        <v>824</v>
      </c>
      <c r="F501" s="8" t="s">
        <v>825</v>
      </c>
      <c r="G501" s="8" t="s">
        <v>1547</v>
      </c>
      <c r="H501" s="8" t="s">
        <v>1548</v>
      </c>
    </row>
    <row r="502">
      <c r="A502" s="3"/>
      <c r="B502" s="27"/>
      <c r="C502" s="27"/>
      <c r="D502" s="27"/>
      <c r="E502" s="27"/>
      <c r="F502" s="27"/>
      <c r="G502" s="27"/>
      <c r="H502" s="27"/>
    </row>
    <row r="503">
      <c r="A503" s="3"/>
      <c r="B503" s="27"/>
      <c r="C503" s="27"/>
      <c r="D503" s="27"/>
      <c r="E503" s="27"/>
      <c r="F503" s="27"/>
      <c r="G503" s="27"/>
      <c r="H503" s="27"/>
    </row>
    <row r="504">
      <c r="A504" s="3"/>
      <c r="B504" s="27"/>
      <c r="C504" s="27"/>
      <c r="D504" s="27"/>
      <c r="E504" s="27"/>
      <c r="F504" s="27"/>
      <c r="G504" s="27"/>
      <c r="H504" s="27"/>
    </row>
    <row r="505">
      <c r="A505" s="3"/>
      <c r="B505" s="27"/>
      <c r="C505" s="27"/>
      <c r="D505" s="27"/>
      <c r="E505" s="27"/>
      <c r="F505" s="27"/>
      <c r="G505" s="27"/>
      <c r="H505" s="27"/>
    </row>
    <row r="506">
      <c r="A506" s="3"/>
      <c r="B506" s="27"/>
      <c r="C506" s="27"/>
      <c r="D506" s="27"/>
      <c r="E506" s="27"/>
      <c r="F506" s="27"/>
      <c r="G506" s="27"/>
      <c r="H506" s="27"/>
    </row>
    <row r="507">
      <c r="A507" s="3"/>
      <c r="B507" s="27"/>
      <c r="C507" s="27"/>
      <c r="D507" s="27"/>
      <c r="E507" s="27"/>
      <c r="F507" s="27"/>
      <c r="G507" s="27"/>
      <c r="H507" s="27"/>
    </row>
    <row r="508">
      <c r="A508" s="3"/>
      <c r="B508" s="27"/>
      <c r="C508" s="27"/>
      <c r="D508" s="27"/>
      <c r="E508" s="27"/>
      <c r="F508" s="27"/>
      <c r="G508" s="27"/>
      <c r="H508" s="27"/>
    </row>
    <row r="509">
      <c r="A509" s="3"/>
      <c r="B509" s="27"/>
      <c r="C509" s="27"/>
      <c r="D509" s="27"/>
      <c r="E509" s="27"/>
      <c r="F509" s="27"/>
      <c r="G509" s="27"/>
      <c r="H509" s="27"/>
    </row>
    <row r="510">
      <c r="A510" s="3"/>
      <c r="B510" s="27"/>
      <c r="C510" s="27"/>
      <c r="D510" s="27"/>
      <c r="E510" s="27"/>
      <c r="F510" s="27"/>
      <c r="G510" s="27"/>
      <c r="H510" s="27"/>
    </row>
    <row r="511">
      <c r="A511" s="3"/>
      <c r="B511" s="27"/>
      <c r="C511" s="27"/>
      <c r="D511" s="27"/>
      <c r="E511" s="27"/>
      <c r="F511" s="27"/>
      <c r="G511" s="27"/>
      <c r="H511" s="27"/>
    </row>
    <row r="512">
      <c r="A512" s="3"/>
      <c r="B512" s="27"/>
      <c r="C512" s="27"/>
      <c r="D512" s="27"/>
      <c r="E512" s="27"/>
      <c r="F512" s="27"/>
      <c r="G512" s="27"/>
      <c r="H512" s="27"/>
    </row>
    <row r="513">
      <c r="A513" s="3"/>
      <c r="B513" s="27"/>
      <c r="C513" s="27"/>
      <c r="D513" s="27"/>
      <c r="E513" s="27"/>
      <c r="F513" s="27"/>
      <c r="G513" s="27"/>
      <c r="H513" s="27"/>
    </row>
    <row r="514">
      <c r="A514" s="3"/>
      <c r="B514" s="27"/>
      <c r="C514" s="27"/>
      <c r="D514" s="27"/>
      <c r="E514" s="27"/>
      <c r="F514" s="27"/>
      <c r="G514" s="27"/>
      <c r="H514" s="27"/>
    </row>
    <row r="515">
      <c r="A515" s="3"/>
      <c r="B515" s="27"/>
      <c r="C515" s="27"/>
      <c r="D515" s="27"/>
      <c r="E515" s="27"/>
      <c r="F515" s="27"/>
      <c r="G515" s="27"/>
      <c r="H515" s="27"/>
    </row>
    <row r="516">
      <c r="A516" s="3"/>
      <c r="B516" s="27"/>
      <c r="C516" s="27"/>
      <c r="D516" s="27"/>
      <c r="E516" s="27"/>
      <c r="F516" s="27"/>
      <c r="G516" s="27"/>
      <c r="H516" s="27"/>
    </row>
    <row r="517">
      <c r="A517" s="3"/>
      <c r="B517" s="27"/>
      <c r="C517" s="27"/>
      <c r="D517" s="27"/>
      <c r="E517" s="27"/>
      <c r="F517" s="27"/>
      <c r="G517" s="27"/>
      <c r="H517" s="27"/>
    </row>
    <row r="518">
      <c r="A518" s="3"/>
      <c r="B518" s="27"/>
      <c r="C518" s="27"/>
      <c r="D518" s="27"/>
      <c r="E518" s="27"/>
      <c r="F518" s="27"/>
      <c r="G518" s="27"/>
      <c r="H518" s="27"/>
    </row>
    <row r="519">
      <c r="A519" s="3"/>
      <c r="B519" s="27"/>
      <c r="C519" s="27"/>
      <c r="D519" s="27"/>
      <c r="E519" s="27"/>
      <c r="F519" s="27"/>
      <c r="G519" s="27"/>
      <c r="H519" s="27"/>
    </row>
    <row r="520">
      <c r="A520" s="3"/>
      <c r="B520" s="27"/>
      <c r="C520" s="27"/>
      <c r="D520" s="27"/>
      <c r="E520" s="27"/>
      <c r="F520" s="27"/>
      <c r="G520" s="27"/>
      <c r="H520" s="27"/>
    </row>
    <row r="521">
      <c r="A521" s="3"/>
      <c r="B521" s="27"/>
      <c r="C521" s="27"/>
      <c r="D521" s="27"/>
      <c r="E521" s="27"/>
      <c r="F521" s="27"/>
      <c r="G521" s="27"/>
      <c r="H521" s="27"/>
    </row>
    <row r="522">
      <c r="A522" s="3"/>
      <c r="B522" s="27"/>
      <c r="C522" s="27"/>
      <c r="D522" s="27"/>
      <c r="E522" s="27"/>
      <c r="F522" s="27"/>
      <c r="G522" s="27"/>
      <c r="H522" s="27"/>
    </row>
    <row r="523">
      <c r="A523" s="3"/>
      <c r="B523" s="27"/>
      <c r="C523" s="27"/>
      <c r="D523" s="27"/>
      <c r="E523" s="27"/>
      <c r="F523" s="27"/>
      <c r="G523" s="27"/>
      <c r="H523" s="27"/>
    </row>
    <row r="524">
      <c r="A524" s="3"/>
      <c r="B524" s="27"/>
      <c r="C524" s="27"/>
      <c r="D524" s="27"/>
      <c r="E524" s="27"/>
      <c r="F524" s="27"/>
      <c r="G524" s="27"/>
      <c r="H524" s="27"/>
    </row>
    <row r="525">
      <c r="A525" s="3"/>
      <c r="B525" s="27"/>
      <c r="C525" s="27"/>
      <c r="D525" s="27"/>
      <c r="E525" s="27"/>
      <c r="F525" s="27"/>
      <c r="G525" s="27"/>
      <c r="H525" s="27"/>
    </row>
    <row r="526">
      <c r="A526" s="3"/>
      <c r="B526" s="27"/>
      <c r="C526" s="27"/>
      <c r="D526" s="27"/>
      <c r="E526" s="27"/>
      <c r="F526" s="27"/>
      <c r="G526" s="27"/>
      <c r="H526" s="27"/>
    </row>
    <row r="527">
      <c r="A527" s="3"/>
      <c r="B527" s="27"/>
      <c r="C527" s="27"/>
      <c r="D527" s="27"/>
      <c r="E527" s="27"/>
      <c r="F527" s="27"/>
      <c r="G527" s="27"/>
      <c r="H527" s="27"/>
    </row>
    <row r="528">
      <c r="A528" s="3"/>
      <c r="B528" s="27"/>
      <c r="C528" s="27"/>
      <c r="D528" s="27"/>
      <c r="E528" s="27"/>
      <c r="F528" s="27"/>
      <c r="G528" s="27"/>
      <c r="H528" s="27"/>
    </row>
    <row r="529">
      <c r="A529" s="3"/>
      <c r="B529" s="27"/>
      <c r="C529" s="27"/>
      <c r="D529" s="27"/>
      <c r="E529" s="27"/>
      <c r="F529" s="27"/>
      <c r="G529" s="27"/>
      <c r="H529" s="27"/>
    </row>
    <row r="530">
      <c r="A530" s="3"/>
      <c r="B530" s="27"/>
      <c r="C530" s="27"/>
      <c r="D530" s="27"/>
      <c r="E530" s="27"/>
      <c r="F530" s="27"/>
      <c r="G530" s="27"/>
      <c r="H530" s="27"/>
    </row>
    <row r="531">
      <c r="A531" s="3"/>
      <c r="B531" s="27"/>
      <c r="C531" s="27"/>
      <c r="D531" s="27"/>
      <c r="E531" s="27"/>
      <c r="F531" s="27"/>
      <c r="G531" s="27"/>
      <c r="H531" s="27"/>
    </row>
    <row r="532">
      <c r="A532" s="3"/>
      <c r="B532" s="27"/>
      <c r="C532" s="27"/>
      <c r="D532" s="27"/>
      <c r="E532" s="27"/>
      <c r="F532" s="27"/>
      <c r="G532" s="27"/>
      <c r="H532" s="27"/>
    </row>
    <row r="533">
      <c r="A533" s="3"/>
      <c r="B533" s="27"/>
      <c r="C533" s="27"/>
      <c r="D533" s="27"/>
      <c r="E533" s="27"/>
      <c r="F533" s="27"/>
      <c r="G533" s="27"/>
      <c r="H533" s="27"/>
    </row>
    <row r="534">
      <c r="A534" s="3"/>
      <c r="B534" s="27"/>
      <c r="C534" s="27"/>
      <c r="D534" s="27"/>
      <c r="E534" s="27"/>
      <c r="F534" s="27"/>
      <c r="G534" s="27"/>
      <c r="H534" s="27"/>
    </row>
    <row r="535">
      <c r="A535" s="3"/>
      <c r="B535" s="27"/>
      <c r="C535" s="27"/>
      <c r="D535" s="27"/>
      <c r="E535" s="27"/>
      <c r="F535" s="27"/>
      <c r="G535" s="27"/>
      <c r="H535" s="27"/>
    </row>
    <row r="536">
      <c r="A536" s="3"/>
      <c r="B536" s="27"/>
      <c r="C536" s="27"/>
      <c r="D536" s="27"/>
      <c r="E536" s="27"/>
      <c r="F536" s="27"/>
      <c r="G536" s="27"/>
      <c r="H536" s="27"/>
    </row>
    <row r="537">
      <c r="A537" s="3"/>
      <c r="B537" s="27"/>
      <c r="C537" s="27"/>
      <c r="D537" s="27"/>
      <c r="E537" s="27"/>
      <c r="F537" s="27"/>
      <c r="G537" s="27"/>
      <c r="H537" s="27"/>
    </row>
    <row r="538">
      <c r="A538" s="3"/>
      <c r="B538" s="27"/>
      <c r="C538" s="27"/>
      <c r="D538" s="27"/>
      <c r="E538" s="27"/>
      <c r="F538" s="27"/>
      <c r="G538" s="27"/>
      <c r="H538" s="27"/>
    </row>
    <row r="539">
      <c r="A539" s="3"/>
      <c r="B539" s="27"/>
      <c r="C539" s="27"/>
      <c r="D539" s="27"/>
      <c r="E539" s="27"/>
      <c r="F539" s="27"/>
      <c r="G539" s="27"/>
      <c r="H539" s="27"/>
    </row>
    <row r="540">
      <c r="A540" s="3"/>
      <c r="B540" s="27"/>
      <c r="C540" s="27"/>
      <c r="D540" s="27"/>
      <c r="E540" s="27"/>
      <c r="F540" s="27"/>
      <c r="G540" s="27"/>
      <c r="H540" s="27"/>
    </row>
    <row r="541">
      <c r="A541" s="3"/>
      <c r="B541" s="27"/>
      <c r="C541" s="27"/>
      <c r="D541" s="27"/>
      <c r="E541" s="27"/>
      <c r="F541" s="27"/>
      <c r="G541" s="27"/>
      <c r="H541" s="27"/>
    </row>
    <row r="542">
      <c r="A542" s="3"/>
      <c r="B542" s="27"/>
      <c r="C542" s="27"/>
      <c r="D542" s="27"/>
      <c r="E542" s="27"/>
      <c r="F542" s="27"/>
      <c r="G542" s="27"/>
      <c r="H542" s="27"/>
    </row>
    <row r="543">
      <c r="A543" s="3"/>
      <c r="B543" s="27"/>
      <c r="C543" s="27"/>
      <c r="D543" s="27"/>
      <c r="E543" s="27"/>
      <c r="F543" s="27"/>
      <c r="G543" s="27"/>
      <c r="H543" s="27"/>
    </row>
    <row r="544">
      <c r="A544" s="3"/>
      <c r="B544" s="27"/>
      <c r="C544" s="27"/>
      <c r="D544" s="27"/>
      <c r="E544" s="27"/>
      <c r="F544" s="27"/>
      <c r="G544" s="27"/>
      <c r="H544" s="27"/>
    </row>
    <row r="545">
      <c r="A545" s="3"/>
      <c r="B545" s="27"/>
      <c r="C545" s="27"/>
      <c r="D545" s="27"/>
      <c r="E545" s="27"/>
      <c r="F545" s="27"/>
      <c r="G545" s="27"/>
      <c r="H545" s="27"/>
    </row>
    <row r="546">
      <c r="A546" s="3"/>
      <c r="B546" s="27"/>
      <c r="C546" s="27"/>
      <c r="D546" s="27"/>
      <c r="E546" s="27"/>
      <c r="F546" s="27"/>
      <c r="G546" s="27"/>
      <c r="H546" s="27"/>
    </row>
    <row r="547">
      <c r="A547" s="3"/>
      <c r="B547" s="27"/>
      <c r="C547" s="27"/>
      <c r="D547" s="27"/>
      <c r="E547" s="27"/>
      <c r="F547" s="27"/>
      <c r="G547" s="27"/>
      <c r="H547" s="27"/>
    </row>
    <row r="548">
      <c r="A548" s="3"/>
      <c r="B548" s="27"/>
      <c r="C548" s="27"/>
      <c r="D548" s="27"/>
      <c r="E548" s="27"/>
      <c r="F548" s="27"/>
      <c r="G548" s="27"/>
      <c r="H548" s="27"/>
    </row>
    <row r="549">
      <c r="A549" s="3"/>
      <c r="B549" s="27"/>
      <c r="C549" s="27"/>
      <c r="D549" s="27"/>
      <c r="E549" s="27"/>
      <c r="F549" s="27"/>
      <c r="G549" s="27"/>
      <c r="H549" s="27"/>
    </row>
    <row r="550">
      <c r="A550" s="3"/>
      <c r="B550" s="27"/>
      <c r="C550" s="27"/>
      <c r="D550" s="27"/>
      <c r="E550" s="27"/>
      <c r="F550" s="27"/>
      <c r="G550" s="27"/>
      <c r="H550" s="27"/>
    </row>
    <row r="551">
      <c r="A551" s="3"/>
      <c r="B551" s="27"/>
      <c r="C551" s="27"/>
      <c r="D551" s="27"/>
      <c r="E551" s="27"/>
      <c r="F551" s="27"/>
      <c r="G551" s="27"/>
      <c r="H551" s="27"/>
    </row>
    <row r="552">
      <c r="A552" s="3"/>
      <c r="B552" s="27"/>
      <c r="C552" s="27"/>
      <c r="D552" s="27"/>
      <c r="E552" s="27"/>
      <c r="F552" s="27"/>
      <c r="G552" s="27"/>
      <c r="H552" s="27"/>
    </row>
    <row r="553">
      <c r="A553" s="3"/>
      <c r="B553" s="27"/>
      <c r="C553" s="27"/>
      <c r="D553" s="27"/>
      <c r="E553" s="27"/>
      <c r="F553" s="27"/>
      <c r="G553" s="27"/>
      <c r="H553" s="27"/>
    </row>
    <row r="554">
      <c r="A554" s="3"/>
      <c r="B554" s="27"/>
      <c r="C554" s="27"/>
      <c r="D554" s="27"/>
      <c r="E554" s="27"/>
      <c r="F554" s="27"/>
      <c r="G554" s="27"/>
      <c r="H554" s="27"/>
    </row>
    <row r="555">
      <c r="A555" s="3"/>
      <c r="B555" s="27"/>
      <c r="C555" s="27"/>
      <c r="D555" s="27"/>
      <c r="E555" s="27"/>
      <c r="F555" s="27"/>
      <c r="G555" s="27"/>
      <c r="H555" s="27"/>
    </row>
    <row r="556">
      <c r="A556" s="3"/>
      <c r="B556" s="27"/>
      <c r="C556" s="27"/>
      <c r="D556" s="27"/>
      <c r="E556" s="27"/>
      <c r="F556" s="27"/>
      <c r="G556" s="27"/>
      <c r="H556" s="27"/>
    </row>
    <row r="557">
      <c r="A557" s="3"/>
      <c r="B557" s="27"/>
      <c r="C557" s="27"/>
      <c r="D557" s="27"/>
      <c r="E557" s="27"/>
      <c r="F557" s="27"/>
      <c r="G557" s="27"/>
      <c r="H557" s="27"/>
    </row>
    <row r="558">
      <c r="A558" s="3"/>
      <c r="B558" s="27"/>
      <c r="C558" s="27"/>
      <c r="D558" s="27"/>
      <c r="E558" s="27"/>
      <c r="F558" s="27"/>
      <c r="G558" s="27"/>
      <c r="H558" s="27"/>
    </row>
    <row r="559">
      <c r="A559" s="3"/>
      <c r="B559" s="27"/>
      <c r="C559" s="27"/>
      <c r="D559" s="27"/>
      <c r="E559" s="27"/>
      <c r="F559" s="27"/>
      <c r="G559" s="27"/>
      <c r="H559" s="27"/>
    </row>
    <row r="560">
      <c r="A560" s="3"/>
      <c r="B560" s="27"/>
      <c r="C560" s="27"/>
      <c r="D560" s="27"/>
      <c r="E560" s="27"/>
      <c r="F560" s="27"/>
      <c r="G560" s="27"/>
      <c r="H560" s="27"/>
    </row>
    <row r="561">
      <c r="A561" s="3"/>
      <c r="B561" s="27"/>
      <c r="C561" s="27"/>
      <c r="D561" s="27"/>
      <c r="E561" s="27"/>
      <c r="F561" s="27"/>
      <c r="G561" s="27"/>
      <c r="H561" s="27"/>
    </row>
    <row r="562">
      <c r="A562" s="3"/>
      <c r="B562" s="27"/>
      <c r="C562" s="27"/>
      <c r="D562" s="27"/>
      <c r="E562" s="27"/>
      <c r="F562" s="27"/>
      <c r="G562" s="27"/>
      <c r="H562" s="27"/>
    </row>
    <row r="563">
      <c r="A563" s="3"/>
      <c r="B563" s="27"/>
      <c r="C563" s="27"/>
      <c r="D563" s="27"/>
      <c r="E563" s="27"/>
      <c r="F563" s="27"/>
      <c r="G563" s="27"/>
      <c r="H563" s="27"/>
    </row>
    <row r="564">
      <c r="A564" s="3"/>
      <c r="B564" s="27"/>
      <c r="C564" s="27"/>
      <c r="D564" s="27"/>
      <c r="E564" s="27"/>
      <c r="F564" s="27"/>
      <c r="G564" s="27"/>
      <c r="H564" s="27"/>
    </row>
    <row r="565">
      <c r="A565" s="3"/>
      <c r="B565" s="27"/>
      <c r="C565" s="27"/>
      <c r="D565" s="27"/>
      <c r="E565" s="27"/>
      <c r="F565" s="27"/>
      <c r="G565" s="27"/>
      <c r="H565" s="27"/>
    </row>
    <row r="566">
      <c r="A566" s="3"/>
      <c r="B566" s="27"/>
      <c r="C566" s="27"/>
      <c r="D566" s="27"/>
      <c r="E566" s="27"/>
      <c r="F566" s="27"/>
      <c r="G566" s="27"/>
      <c r="H566" s="27"/>
    </row>
    <row r="567">
      <c r="A567" s="3"/>
      <c r="B567" s="27"/>
      <c r="C567" s="27"/>
      <c r="D567" s="27"/>
      <c r="E567" s="27"/>
      <c r="F567" s="27"/>
      <c r="G567" s="27"/>
      <c r="H567" s="27"/>
    </row>
    <row r="568">
      <c r="A568" s="3"/>
      <c r="B568" s="27"/>
      <c r="C568" s="27"/>
      <c r="D568" s="27"/>
      <c r="E568" s="27"/>
      <c r="F568" s="27"/>
      <c r="G568" s="27"/>
      <c r="H568" s="27"/>
    </row>
    <row r="569">
      <c r="A569" s="3"/>
      <c r="B569" s="27"/>
      <c r="C569" s="27"/>
      <c r="D569" s="27"/>
      <c r="E569" s="27"/>
      <c r="F569" s="27"/>
      <c r="G569" s="27"/>
      <c r="H569" s="27"/>
    </row>
    <row r="570">
      <c r="A570" s="3"/>
      <c r="B570" s="27"/>
      <c r="C570" s="27"/>
      <c r="D570" s="27"/>
      <c r="E570" s="27"/>
      <c r="F570" s="27"/>
      <c r="G570" s="27"/>
      <c r="H570" s="27"/>
    </row>
    <row r="571">
      <c r="A571" s="3"/>
      <c r="B571" s="27"/>
      <c r="C571" s="27"/>
      <c r="D571" s="27"/>
      <c r="E571" s="27"/>
      <c r="F571" s="27"/>
      <c r="G571" s="27"/>
      <c r="H571" s="27"/>
    </row>
    <row r="572">
      <c r="A572" s="3"/>
      <c r="B572" s="27"/>
      <c r="C572" s="27"/>
      <c r="D572" s="27"/>
      <c r="E572" s="27"/>
      <c r="F572" s="27"/>
      <c r="G572" s="27"/>
      <c r="H572" s="27"/>
    </row>
    <row r="573">
      <c r="A573" s="3"/>
      <c r="B573" s="27"/>
      <c r="C573" s="27"/>
      <c r="D573" s="27"/>
      <c r="E573" s="27"/>
      <c r="F573" s="27"/>
      <c r="G573" s="27"/>
      <c r="H573" s="27"/>
    </row>
    <row r="574">
      <c r="A574" s="3"/>
      <c r="B574" s="27"/>
      <c r="C574" s="27"/>
      <c r="D574" s="27"/>
      <c r="E574" s="27"/>
      <c r="F574" s="27"/>
      <c r="G574" s="27"/>
      <c r="H574" s="27"/>
    </row>
    <row r="575">
      <c r="A575" s="3"/>
      <c r="B575" s="27"/>
      <c r="C575" s="27"/>
      <c r="D575" s="27"/>
      <c r="E575" s="27"/>
      <c r="F575" s="27"/>
      <c r="G575" s="27"/>
      <c r="H575" s="27"/>
    </row>
    <row r="576">
      <c r="A576" s="3"/>
      <c r="B576" s="27"/>
      <c r="C576" s="27"/>
      <c r="D576" s="27"/>
      <c r="E576" s="27"/>
      <c r="F576" s="27"/>
      <c r="G576" s="27"/>
      <c r="H576" s="27"/>
    </row>
    <row r="577">
      <c r="A577" s="3"/>
      <c r="B577" s="27"/>
      <c r="C577" s="27"/>
      <c r="D577" s="27"/>
      <c r="E577" s="27"/>
      <c r="F577" s="27"/>
      <c r="G577" s="27"/>
      <c r="H577" s="27"/>
    </row>
    <row r="578">
      <c r="A578" s="3"/>
      <c r="B578" s="27"/>
      <c r="C578" s="27"/>
      <c r="D578" s="27"/>
      <c r="E578" s="27"/>
      <c r="F578" s="27"/>
      <c r="G578" s="27"/>
      <c r="H578" s="27"/>
    </row>
    <row r="579">
      <c r="A579" s="3"/>
      <c r="B579" s="27"/>
      <c r="C579" s="27"/>
      <c r="D579" s="27"/>
      <c r="E579" s="27"/>
      <c r="F579" s="27"/>
      <c r="G579" s="27"/>
      <c r="H579" s="27"/>
    </row>
    <row r="580">
      <c r="A580" s="3"/>
      <c r="B580" s="27"/>
      <c r="C580" s="27"/>
      <c r="D580" s="27"/>
      <c r="E580" s="27"/>
      <c r="F580" s="27"/>
      <c r="G580" s="27"/>
      <c r="H580" s="27"/>
    </row>
    <row r="581">
      <c r="A581" s="3"/>
      <c r="B581" s="27"/>
      <c r="C581" s="27"/>
      <c r="D581" s="27"/>
      <c r="E581" s="27"/>
      <c r="F581" s="27"/>
      <c r="G581" s="27"/>
      <c r="H581" s="27"/>
    </row>
    <row r="582">
      <c r="A582" s="3"/>
      <c r="B582" s="27"/>
      <c r="C582" s="27"/>
      <c r="D582" s="27"/>
      <c r="E582" s="27"/>
      <c r="F582" s="27"/>
      <c r="G582" s="27"/>
      <c r="H582" s="27"/>
    </row>
    <row r="583">
      <c r="A583" s="3"/>
      <c r="B583" s="27"/>
      <c r="C583" s="27"/>
      <c r="D583" s="27"/>
      <c r="E583" s="27"/>
      <c r="F583" s="27"/>
      <c r="G583" s="27"/>
      <c r="H583" s="27"/>
    </row>
    <row r="584">
      <c r="A584" s="3"/>
      <c r="B584" s="27"/>
      <c r="C584" s="27"/>
      <c r="D584" s="27"/>
      <c r="E584" s="27"/>
      <c r="F584" s="27"/>
      <c r="G584" s="27"/>
      <c r="H584" s="27"/>
    </row>
    <row r="585">
      <c r="A585" s="3"/>
      <c r="B585" s="27"/>
      <c r="C585" s="27"/>
      <c r="D585" s="27"/>
      <c r="E585" s="27"/>
      <c r="F585" s="27"/>
      <c r="G585" s="27"/>
      <c r="H585" s="27"/>
    </row>
    <row r="586">
      <c r="A586" s="3"/>
      <c r="B586" s="27"/>
      <c r="C586" s="27"/>
      <c r="D586" s="27"/>
      <c r="E586" s="27"/>
      <c r="F586" s="27"/>
      <c r="G586" s="27"/>
      <c r="H586" s="27"/>
    </row>
    <row r="587">
      <c r="A587" s="3"/>
      <c r="B587" s="27"/>
      <c r="C587" s="27"/>
      <c r="D587" s="27"/>
      <c r="E587" s="27"/>
      <c r="F587" s="27"/>
      <c r="G587" s="27"/>
      <c r="H587" s="27"/>
    </row>
    <row r="588">
      <c r="A588" s="3"/>
      <c r="B588" s="27"/>
      <c r="C588" s="27"/>
      <c r="D588" s="27"/>
      <c r="E588" s="27"/>
      <c r="F588" s="27"/>
      <c r="G588" s="27"/>
      <c r="H588" s="27"/>
    </row>
    <row r="589">
      <c r="A589" s="3"/>
      <c r="B589" s="27"/>
      <c r="C589" s="27"/>
      <c r="D589" s="27"/>
      <c r="E589" s="27"/>
      <c r="F589" s="27"/>
      <c r="G589" s="27"/>
      <c r="H589" s="27"/>
    </row>
    <row r="590">
      <c r="A590" s="3"/>
      <c r="B590" s="27"/>
      <c r="C590" s="27"/>
      <c r="D590" s="27"/>
      <c r="E590" s="27"/>
      <c r="F590" s="27"/>
      <c r="G590" s="27"/>
      <c r="H590" s="27"/>
    </row>
    <row r="591">
      <c r="A591" s="3"/>
      <c r="B591" s="27"/>
      <c r="C591" s="27"/>
      <c r="D591" s="27"/>
      <c r="E591" s="27"/>
      <c r="F591" s="27"/>
      <c r="G591" s="27"/>
      <c r="H591" s="27"/>
    </row>
    <row r="592">
      <c r="A592" s="3"/>
      <c r="B592" s="27"/>
      <c r="C592" s="27"/>
      <c r="D592" s="27"/>
      <c r="E592" s="27"/>
      <c r="F592" s="27"/>
      <c r="G592" s="27"/>
      <c r="H592" s="27"/>
    </row>
    <row r="593">
      <c r="A593" s="3"/>
      <c r="B593" s="27"/>
      <c r="C593" s="27"/>
      <c r="D593" s="27"/>
      <c r="E593" s="27"/>
      <c r="F593" s="27"/>
      <c r="G593" s="27"/>
      <c r="H593" s="27"/>
    </row>
    <row r="594">
      <c r="A594" s="3"/>
      <c r="B594" s="27"/>
      <c r="C594" s="27"/>
      <c r="D594" s="27"/>
      <c r="E594" s="27"/>
      <c r="F594" s="27"/>
      <c r="G594" s="27"/>
      <c r="H594" s="27"/>
    </row>
    <row r="595">
      <c r="A595" s="3"/>
      <c r="B595" s="27"/>
      <c r="C595" s="27"/>
      <c r="D595" s="27"/>
      <c r="E595" s="27"/>
      <c r="F595" s="27"/>
      <c r="G595" s="27"/>
      <c r="H595" s="27"/>
    </row>
    <row r="596">
      <c r="A596" s="3"/>
      <c r="B596" s="27"/>
      <c r="C596" s="27"/>
      <c r="D596" s="27"/>
      <c r="E596" s="27"/>
      <c r="F596" s="27"/>
      <c r="G596" s="27"/>
      <c r="H596" s="27"/>
    </row>
    <row r="597">
      <c r="A597" s="3"/>
      <c r="B597" s="27"/>
      <c r="C597" s="27"/>
      <c r="D597" s="27"/>
      <c r="E597" s="27"/>
      <c r="F597" s="27"/>
      <c r="G597" s="27"/>
      <c r="H597" s="27"/>
    </row>
    <row r="598">
      <c r="A598" s="3"/>
      <c r="B598" s="27"/>
      <c r="C598" s="27"/>
      <c r="D598" s="27"/>
      <c r="E598" s="27"/>
      <c r="F598" s="27"/>
      <c r="G598" s="27"/>
      <c r="H598" s="27"/>
    </row>
    <row r="599">
      <c r="A599" s="3"/>
      <c r="B599" s="27"/>
      <c r="C599" s="27"/>
      <c r="D599" s="27"/>
      <c r="E599" s="27"/>
      <c r="F599" s="27"/>
      <c r="G599" s="27"/>
      <c r="H599" s="27"/>
    </row>
    <row r="600">
      <c r="A600" s="3"/>
      <c r="B600" s="27"/>
      <c r="C600" s="27"/>
      <c r="D600" s="27"/>
      <c r="E600" s="27"/>
      <c r="F600" s="27"/>
      <c r="G600" s="27"/>
      <c r="H600" s="27"/>
    </row>
    <row r="601">
      <c r="A601" s="3"/>
      <c r="B601" s="27"/>
      <c r="C601" s="27"/>
      <c r="D601" s="27"/>
      <c r="E601" s="27"/>
      <c r="F601" s="27"/>
      <c r="G601" s="27"/>
      <c r="H601" s="27"/>
    </row>
    <row r="602">
      <c r="A602" s="3"/>
      <c r="B602" s="27"/>
      <c r="C602" s="27"/>
      <c r="D602" s="27"/>
      <c r="E602" s="27"/>
      <c r="F602" s="27"/>
      <c r="G602" s="27"/>
      <c r="H602" s="27"/>
    </row>
    <row r="603">
      <c r="A603" s="3"/>
      <c r="B603" s="27"/>
      <c r="C603" s="27"/>
      <c r="D603" s="27"/>
      <c r="E603" s="27"/>
      <c r="F603" s="27"/>
      <c r="G603" s="27"/>
      <c r="H603" s="27"/>
    </row>
    <row r="604">
      <c r="A604" s="3"/>
      <c r="B604" s="27"/>
      <c r="C604" s="27"/>
      <c r="D604" s="27"/>
      <c r="E604" s="27"/>
      <c r="F604" s="27"/>
      <c r="G604" s="27"/>
      <c r="H604" s="27"/>
    </row>
    <row r="605">
      <c r="A605" s="3"/>
      <c r="B605" s="27"/>
      <c r="C605" s="27"/>
      <c r="D605" s="27"/>
      <c r="E605" s="27"/>
      <c r="F605" s="27"/>
      <c r="G605" s="27"/>
      <c r="H605" s="27"/>
    </row>
    <row r="606">
      <c r="A606" s="3"/>
      <c r="B606" s="27"/>
      <c r="C606" s="27"/>
      <c r="D606" s="27"/>
      <c r="E606" s="27"/>
      <c r="F606" s="27"/>
      <c r="G606" s="27"/>
      <c r="H606" s="27"/>
    </row>
    <row r="607">
      <c r="A607" s="3"/>
      <c r="B607" s="27"/>
      <c r="C607" s="27"/>
      <c r="D607" s="27"/>
      <c r="E607" s="27"/>
      <c r="F607" s="27"/>
      <c r="G607" s="27"/>
      <c r="H607" s="27"/>
    </row>
    <row r="608">
      <c r="A608" s="3"/>
      <c r="B608" s="27"/>
      <c r="C608" s="27"/>
      <c r="D608" s="27"/>
      <c r="E608" s="27"/>
      <c r="F608" s="27"/>
      <c r="G608" s="27"/>
      <c r="H608" s="27"/>
    </row>
    <row r="609">
      <c r="A609" s="3"/>
      <c r="B609" s="27"/>
      <c r="C609" s="27"/>
      <c r="D609" s="27"/>
      <c r="E609" s="27"/>
      <c r="F609" s="27"/>
      <c r="G609" s="27"/>
      <c r="H609" s="27"/>
    </row>
    <row r="610">
      <c r="A610" s="3"/>
      <c r="B610" s="27"/>
      <c r="C610" s="27"/>
      <c r="D610" s="27"/>
      <c r="E610" s="27"/>
      <c r="F610" s="27"/>
      <c r="G610" s="27"/>
      <c r="H610" s="27"/>
    </row>
    <row r="611">
      <c r="A611" s="3"/>
      <c r="B611" s="27"/>
      <c r="C611" s="27"/>
      <c r="D611" s="27"/>
      <c r="E611" s="27"/>
      <c r="F611" s="27"/>
      <c r="G611" s="27"/>
      <c r="H611" s="27"/>
    </row>
    <row r="612">
      <c r="A612" s="3"/>
      <c r="B612" s="27"/>
      <c r="C612" s="27"/>
      <c r="D612" s="27"/>
      <c r="E612" s="27"/>
      <c r="F612" s="27"/>
      <c r="G612" s="27"/>
      <c r="H612" s="27"/>
    </row>
    <row r="613">
      <c r="A613" s="3"/>
      <c r="B613" s="27"/>
      <c r="C613" s="27"/>
      <c r="D613" s="27"/>
      <c r="E613" s="27"/>
      <c r="F613" s="27"/>
      <c r="G613" s="27"/>
      <c r="H613" s="27"/>
    </row>
    <row r="614">
      <c r="A614" s="3"/>
      <c r="B614" s="27"/>
      <c r="C614" s="27"/>
      <c r="D614" s="27"/>
      <c r="E614" s="27"/>
      <c r="F614" s="27"/>
      <c r="G614" s="27"/>
      <c r="H614" s="27"/>
    </row>
    <row r="615">
      <c r="A615" s="3"/>
      <c r="B615" s="27"/>
      <c r="C615" s="27"/>
      <c r="D615" s="27"/>
      <c r="E615" s="27"/>
      <c r="F615" s="27"/>
      <c r="G615" s="27"/>
      <c r="H615" s="27"/>
    </row>
    <row r="616">
      <c r="A616" s="3"/>
      <c r="B616" s="27"/>
      <c r="C616" s="27"/>
      <c r="D616" s="27"/>
      <c r="E616" s="27"/>
      <c r="F616" s="27"/>
      <c r="G616" s="27"/>
      <c r="H616" s="27"/>
    </row>
    <row r="617">
      <c r="A617" s="3"/>
      <c r="B617" s="27"/>
      <c r="C617" s="27"/>
      <c r="D617" s="27"/>
      <c r="E617" s="27"/>
      <c r="F617" s="27"/>
      <c r="G617" s="27"/>
      <c r="H617" s="27"/>
    </row>
    <row r="618">
      <c r="A618" s="3"/>
      <c r="B618" s="27"/>
      <c r="C618" s="27"/>
      <c r="D618" s="27"/>
      <c r="E618" s="27"/>
      <c r="F618" s="27"/>
      <c r="G618" s="27"/>
      <c r="H618" s="27"/>
    </row>
    <row r="619">
      <c r="A619" s="3"/>
      <c r="B619" s="27"/>
      <c r="C619" s="27"/>
      <c r="D619" s="27"/>
      <c r="E619" s="27"/>
      <c r="F619" s="27"/>
      <c r="G619" s="27"/>
      <c r="H619" s="27"/>
    </row>
    <row r="620">
      <c r="A620" s="3"/>
      <c r="B620" s="27"/>
      <c r="C620" s="27"/>
      <c r="D620" s="27"/>
      <c r="E620" s="27"/>
      <c r="F620" s="27"/>
      <c r="G620" s="27"/>
      <c r="H620" s="27"/>
    </row>
    <row r="621">
      <c r="A621" s="3"/>
      <c r="B621" s="27"/>
      <c r="C621" s="27"/>
      <c r="D621" s="27"/>
      <c r="E621" s="27"/>
      <c r="F621" s="27"/>
      <c r="G621" s="27"/>
      <c r="H621" s="27"/>
    </row>
    <row r="622">
      <c r="A622" s="3"/>
      <c r="B622" s="27"/>
      <c r="C622" s="27"/>
      <c r="D622" s="27"/>
      <c r="E622" s="27"/>
      <c r="F622" s="27"/>
      <c r="G622" s="27"/>
      <c r="H622" s="27"/>
    </row>
    <row r="623">
      <c r="A623" s="3"/>
      <c r="B623" s="27"/>
      <c r="C623" s="27"/>
      <c r="D623" s="27"/>
      <c r="E623" s="27"/>
      <c r="F623" s="27"/>
      <c r="G623" s="27"/>
      <c r="H623" s="27"/>
    </row>
    <row r="624">
      <c r="A624" s="3"/>
      <c r="B624" s="27"/>
      <c r="C624" s="27"/>
      <c r="D624" s="27"/>
      <c r="E624" s="27"/>
      <c r="F624" s="27"/>
      <c r="G624" s="27"/>
      <c r="H624" s="27"/>
    </row>
    <row r="625">
      <c r="A625" s="3"/>
      <c r="B625" s="27"/>
      <c r="C625" s="27"/>
      <c r="D625" s="27"/>
      <c r="E625" s="27"/>
      <c r="F625" s="27"/>
      <c r="G625" s="27"/>
      <c r="H625" s="27"/>
    </row>
    <row r="626">
      <c r="A626" s="3"/>
      <c r="B626" s="27"/>
      <c r="C626" s="27"/>
      <c r="D626" s="27"/>
      <c r="E626" s="27"/>
      <c r="F626" s="27"/>
      <c r="G626" s="27"/>
      <c r="H626" s="27"/>
    </row>
    <row r="627">
      <c r="A627" s="3"/>
      <c r="B627" s="27"/>
      <c r="C627" s="27"/>
      <c r="D627" s="27"/>
      <c r="E627" s="27"/>
      <c r="F627" s="27"/>
      <c r="G627" s="27"/>
      <c r="H627" s="27"/>
    </row>
    <row r="628">
      <c r="A628" s="3"/>
      <c r="B628" s="27"/>
      <c r="C628" s="27"/>
      <c r="D628" s="27"/>
      <c r="E628" s="27"/>
      <c r="F628" s="27"/>
      <c r="G628" s="27"/>
      <c r="H628" s="27"/>
    </row>
    <row r="629">
      <c r="A629" s="3"/>
      <c r="B629" s="27"/>
      <c r="C629" s="27"/>
      <c r="D629" s="27"/>
      <c r="E629" s="27"/>
      <c r="F629" s="27"/>
      <c r="G629" s="27"/>
      <c r="H629" s="27"/>
    </row>
    <row r="630">
      <c r="A630" s="3"/>
      <c r="B630" s="27"/>
      <c r="C630" s="27"/>
      <c r="D630" s="27"/>
      <c r="E630" s="27"/>
      <c r="F630" s="27"/>
      <c r="G630" s="27"/>
      <c r="H630" s="27"/>
    </row>
    <row r="631">
      <c r="A631" s="3"/>
      <c r="B631" s="27"/>
      <c r="C631" s="27"/>
      <c r="D631" s="27"/>
      <c r="E631" s="27"/>
      <c r="F631" s="27"/>
      <c r="G631" s="27"/>
      <c r="H631" s="27"/>
    </row>
    <row r="632">
      <c r="A632" s="3"/>
      <c r="B632" s="27"/>
      <c r="C632" s="27"/>
      <c r="D632" s="27"/>
      <c r="E632" s="27"/>
      <c r="F632" s="27"/>
      <c r="G632" s="27"/>
      <c r="H632" s="27"/>
    </row>
    <row r="633">
      <c r="A633" s="3"/>
      <c r="B633" s="27"/>
      <c r="C633" s="27"/>
      <c r="D633" s="27"/>
      <c r="E633" s="27"/>
      <c r="F633" s="27"/>
      <c r="G633" s="27"/>
      <c r="H633" s="27"/>
    </row>
    <row r="634">
      <c r="A634" s="3"/>
      <c r="B634" s="27"/>
      <c r="C634" s="27"/>
      <c r="D634" s="27"/>
      <c r="E634" s="27"/>
      <c r="F634" s="27"/>
      <c r="G634" s="27"/>
      <c r="H634" s="27"/>
    </row>
    <row r="635">
      <c r="A635" s="3"/>
      <c r="B635" s="27"/>
      <c r="C635" s="27"/>
      <c r="D635" s="27"/>
      <c r="E635" s="27"/>
      <c r="F635" s="27"/>
      <c r="G635" s="27"/>
      <c r="H635" s="27"/>
    </row>
    <row r="636">
      <c r="A636" s="3"/>
      <c r="B636" s="27"/>
      <c r="C636" s="27"/>
      <c r="D636" s="27"/>
      <c r="E636" s="27"/>
      <c r="F636" s="27"/>
      <c r="G636" s="27"/>
      <c r="H636" s="27"/>
    </row>
    <row r="637">
      <c r="A637" s="3"/>
      <c r="B637" s="27"/>
      <c r="C637" s="27"/>
      <c r="D637" s="27"/>
      <c r="E637" s="27"/>
      <c r="F637" s="27"/>
      <c r="G637" s="27"/>
      <c r="H637" s="27"/>
    </row>
    <row r="638">
      <c r="A638" s="3"/>
      <c r="B638" s="27"/>
      <c r="C638" s="27"/>
      <c r="D638" s="27"/>
      <c r="E638" s="27"/>
      <c r="F638" s="27"/>
      <c r="G638" s="27"/>
      <c r="H638" s="27"/>
    </row>
    <row r="639">
      <c r="A639" s="3"/>
      <c r="B639" s="27"/>
      <c r="C639" s="27"/>
      <c r="D639" s="27"/>
      <c r="E639" s="27"/>
      <c r="F639" s="27"/>
      <c r="G639" s="27"/>
      <c r="H639" s="27"/>
    </row>
    <row r="640">
      <c r="A640" s="3"/>
      <c r="B640" s="27"/>
      <c r="C640" s="27"/>
      <c r="D640" s="27"/>
      <c r="E640" s="27"/>
      <c r="F640" s="27"/>
      <c r="G640" s="27"/>
      <c r="H640" s="27"/>
    </row>
    <row r="641">
      <c r="A641" s="3"/>
      <c r="B641" s="27"/>
      <c r="C641" s="27"/>
      <c r="D641" s="27"/>
      <c r="E641" s="27"/>
      <c r="F641" s="27"/>
      <c r="G641" s="27"/>
      <c r="H641" s="27"/>
    </row>
    <row r="642">
      <c r="A642" s="3"/>
      <c r="B642" s="27"/>
      <c r="C642" s="27"/>
      <c r="D642" s="27"/>
      <c r="E642" s="27"/>
      <c r="F642" s="27"/>
      <c r="G642" s="27"/>
      <c r="H642" s="27"/>
    </row>
    <row r="643">
      <c r="A643" s="3"/>
      <c r="B643" s="27"/>
      <c r="C643" s="27"/>
      <c r="D643" s="27"/>
      <c r="E643" s="27"/>
      <c r="F643" s="27"/>
      <c r="G643" s="27"/>
      <c r="H643" s="27"/>
    </row>
    <row r="644">
      <c r="A644" s="3"/>
      <c r="B644" s="27"/>
      <c r="C644" s="27"/>
      <c r="D644" s="27"/>
      <c r="E644" s="27"/>
      <c r="F644" s="27"/>
      <c r="G644" s="27"/>
      <c r="H644" s="27"/>
    </row>
    <row r="645">
      <c r="A645" s="3"/>
      <c r="B645" s="27"/>
      <c r="C645" s="27"/>
      <c r="D645" s="27"/>
      <c r="E645" s="27"/>
      <c r="F645" s="27"/>
      <c r="G645" s="27"/>
      <c r="H645" s="27"/>
    </row>
    <row r="646">
      <c r="A646" s="3"/>
      <c r="B646" s="27"/>
      <c r="C646" s="27"/>
      <c r="D646" s="27"/>
      <c r="E646" s="27"/>
      <c r="F646" s="27"/>
      <c r="G646" s="27"/>
      <c r="H646" s="27"/>
    </row>
    <row r="647">
      <c r="A647" s="3"/>
      <c r="B647" s="27"/>
      <c r="C647" s="27"/>
      <c r="D647" s="27"/>
      <c r="E647" s="27"/>
      <c r="F647" s="27"/>
      <c r="G647" s="27"/>
      <c r="H647" s="27"/>
    </row>
    <row r="648">
      <c r="A648" s="3"/>
      <c r="B648" s="27"/>
      <c r="C648" s="27"/>
      <c r="D648" s="27"/>
      <c r="E648" s="27"/>
      <c r="F648" s="27"/>
      <c r="G648" s="27"/>
      <c r="H648" s="27"/>
    </row>
    <row r="649">
      <c r="A649" s="3"/>
      <c r="B649" s="27"/>
      <c r="C649" s="27"/>
      <c r="D649" s="27"/>
      <c r="E649" s="27"/>
      <c r="F649" s="27"/>
      <c r="G649" s="27"/>
      <c r="H649" s="27"/>
    </row>
    <row r="650">
      <c r="A650" s="3"/>
      <c r="B650" s="27"/>
      <c r="C650" s="27"/>
      <c r="D650" s="27"/>
      <c r="E650" s="27"/>
      <c r="F650" s="27"/>
      <c r="G650" s="27"/>
      <c r="H650" s="27"/>
    </row>
    <row r="651">
      <c r="A651" s="3"/>
      <c r="B651" s="27"/>
      <c r="C651" s="27"/>
      <c r="D651" s="27"/>
      <c r="E651" s="27"/>
      <c r="F651" s="27"/>
      <c r="G651" s="27"/>
      <c r="H651" s="27"/>
    </row>
    <row r="652">
      <c r="A652" s="3"/>
      <c r="B652" s="27"/>
      <c r="C652" s="27"/>
      <c r="D652" s="27"/>
      <c r="E652" s="27"/>
      <c r="F652" s="27"/>
      <c r="G652" s="27"/>
      <c r="H652" s="27"/>
    </row>
    <row r="653">
      <c r="A653" s="3"/>
      <c r="B653" s="27"/>
      <c r="C653" s="27"/>
      <c r="D653" s="27"/>
      <c r="E653" s="27"/>
      <c r="F653" s="27"/>
      <c r="G653" s="27"/>
      <c r="H653" s="27"/>
    </row>
    <row r="654">
      <c r="A654" s="3"/>
      <c r="B654" s="27"/>
      <c r="C654" s="27"/>
      <c r="D654" s="27"/>
      <c r="E654" s="27"/>
      <c r="F654" s="27"/>
      <c r="G654" s="27"/>
      <c r="H654" s="27"/>
    </row>
    <row r="655">
      <c r="A655" s="3"/>
      <c r="B655" s="27"/>
      <c r="C655" s="27"/>
      <c r="D655" s="27"/>
      <c r="E655" s="27"/>
      <c r="F655" s="27"/>
      <c r="G655" s="27"/>
      <c r="H655" s="27"/>
    </row>
    <row r="656">
      <c r="A656" s="3"/>
      <c r="B656" s="27"/>
      <c r="C656" s="27"/>
      <c r="D656" s="27"/>
      <c r="E656" s="27"/>
      <c r="F656" s="27"/>
      <c r="G656" s="27"/>
      <c r="H656" s="27"/>
    </row>
    <row r="657">
      <c r="A657" s="3"/>
      <c r="B657" s="27"/>
      <c r="C657" s="27"/>
      <c r="D657" s="27"/>
      <c r="E657" s="27"/>
      <c r="F657" s="27"/>
      <c r="G657" s="27"/>
      <c r="H657" s="27"/>
    </row>
    <row r="658">
      <c r="A658" s="3"/>
      <c r="B658" s="27"/>
      <c r="C658" s="27"/>
      <c r="D658" s="27"/>
      <c r="E658" s="27"/>
      <c r="F658" s="27"/>
      <c r="G658" s="27"/>
      <c r="H658" s="27"/>
    </row>
    <row r="659">
      <c r="A659" s="3"/>
      <c r="B659" s="27"/>
      <c r="C659" s="27"/>
      <c r="D659" s="27"/>
      <c r="E659" s="27"/>
      <c r="F659" s="27"/>
      <c r="G659" s="27"/>
      <c r="H659" s="27"/>
    </row>
    <row r="660">
      <c r="A660" s="3"/>
      <c r="B660" s="27"/>
      <c r="C660" s="27"/>
      <c r="D660" s="27"/>
      <c r="E660" s="27"/>
      <c r="F660" s="27"/>
      <c r="G660" s="27"/>
      <c r="H660" s="27"/>
    </row>
    <row r="661">
      <c r="A661" s="3"/>
      <c r="B661" s="27"/>
      <c r="C661" s="27"/>
      <c r="D661" s="27"/>
      <c r="E661" s="27"/>
      <c r="F661" s="27"/>
      <c r="G661" s="27"/>
      <c r="H661" s="27"/>
    </row>
    <row r="662">
      <c r="A662" s="3"/>
      <c r="B662" s="27"/>
      <c r="C662" s="27"/>
      <c r="D662" s="27"/>
      <c r="E662" s="27"/>
      <c r="F662" s="27"/>
      <c r="G662" s="27"/>
      <c r="H662" s="27"/>
    </row>
    <row r="663">
      <c r="A663" s="3"/>
      <c r="B663" s="27"/>
      <c r="C663" s="27"/>
      <c r="D663" s="27"/>
      <c r="E663" s="27"/>
      <c r="F663" s="27"/>
      <c r="G663" s="27"/>
      <c r="H663" s="27"/>
    </row>
    <row r="664">
      <c r="A664" s="3"/>
      <c r="B664" s="27"/>
      <c r="C664" s="27"/>
      <c r="D664" s="27"/>
      <c r="E664" s="27"/>
      <c r="F664" s="27"/>
      <c r="G664" s="27"/>
      <c r="H664" s="27"/>
    </row>
    <row r="665">
      <c r="A665" s="3"/>
      <c r="B665" s="27"/>
      <c r="C665" s="27"/>
      <c r="D665" s="27"/>
      <c r="E665" s="27"/>
      <c r="F665" s="27"/>
      <c r="G665" s="27"/>
      <c r="H665" s="27"/>
    </row>
    <row r="666">
      <c r="A666" s="3"/>
      <c r="B666" s="27"/>
      <c r="C666" s="27"/>
      <c r="D666" s="27"/>
      <c r="E666" s="27"/>
      <c r="F666" s="27"/>
      <c r="G666" s="27"/>
      <c r="H666" s="27"/>
    </row>
    <row r="667">
      <c r="A667" s="3"/>
      <c r="B667" s="27"/>
      <c r="C667" s="27"/>
      <c r="D667" s="27"/>
      <c r="E667" s="27"/>
      <c r="F667" s="27"/>
      <c r="G667" s="27"/>
      <c r="H667" s="27"/>
    </row>
    <row r="668">
      <c r="A668" s="3"/>
      <c r="B668" s="27"/>
      <c r="C668" s="27"/>
      <c r="D668" s="27"/>
      <c r="E668" s="27"/>
      <c r="F668" s="27"/>
      <c r="G668" s="27"/>
      <c r="H668" s="27"/>
    </row>
    <row r="669">
      <c r="A669" s="3"/>
      <c r="B669" s="27"/>
      <c r="C669" s="27"/>
      <c r="D669" s="27"/>
      <c r="E669" s="27"/>
      <c r="F669" s="27"/>
      <c r="G669" s="27"/>
      <c r="H669" s="27"/>
    </row>
    <row r="670">
      <c r="A670" s="3"/>
      <c r="B670" s="27"/>
      <c r="C670" s="27"/>
      <c r="D670" s="27"/>
      <c r="E670" s="27"/>
      <c r="F670" s="27"/>
      <c r="G670" s="27"/>
      <c r="H670" s="27"/>
    </row>
    <row r="671">
      <c r="A671" s="3"/>
      <c r="B671" s="27"/>
      <c r="C671" s="27"/>
      <c r="D671" s="27"/>
      <c r="E671" s="27"/>
      <c r="F671" s="27"/>
      <c r="G671" s="27"/>
      <c r="H671" s="27"/>
    </row>
    <row r="672">
      <c r="A672" s="3"/>
      <c r="B672" s="27"/>
      <c r="C672" s="27"/>
      <c r="D672" s="27"/>
      <c r="E672" s="27"/>
      <c r="F672" s="27"/>
      <c r="G672" s="27"/>
      <c r="H672" s="27"/>
    </row>
    <row r="673">
      <c r="A673" s="3"/>
      <c r="B673" s="27"/>
      <c r="C673" s="27"/>
      <c r="D673" s="27"/>
      <c r="E673" s="27"/>
      <c r="F673" s="27"/>
      <c r="G673" s="27"/>
      <c r="H673" s="27"/>
    </row>
    <row r="674">
      <c r="A674" s="3"/>
      <c r="B674" s="27"/>
      <c r="C674" s="27"/>
      <c r="D674" s="27"/>
      <c r="E674" s="27"/>
      <c r="F674" s="27"/>
      <c r="G674" s="27"/>
      <c r="H674" s="27"/>
    </row>
    <row r="675">
      <c r="A675" s="3"/>
      <c r="B675" s="27"/>
      <c r="C675" s="27"/>
      <c r="D675" s="27"/>
      <c r="E675" s="27"/>
      <c r="F675" s="27"/>
      <c r="G675" s="27"/>
      <c r="H675" s="27"/>
    </row>
    <row r="676">
      <c r="A676" s="3"/>
      <c r="B676" s="27"/>
      <c r="C676" s="27"/>
      <c r="D676" s="27"/>
      <c r="E676" s="27"/>
      <c r="F676" s="27"/>
      <c r="G676" s="27"/>
      <c r="H676" s="27"/>
    </row>
    <row r="677">
      <c r="A677" s="3"/>
      <c r="B677" s="27"/>
      <c r="C677" s="27"/>
      <c r="D677" s="27"/>
      <c r="E677" s="27"/>
      <c r="F677" s="27"/>
      <c r="G677" s="27"/>
      <c r="H677" s="27"/>
    </row>
    <row r="678">
      <c r="A678" s="3"/>
      <c r="B678" s="27"/>
      <c r="C678" s="27"/>
      <c r="D678" s="27"/>
      <c r="E678" s="27"/>
      <c r="F678" s="27"/>
      <c r="G678" s="27"/>
      <c r="H678" s="27"/>
    </row>
    <row r="679">
      <c r="A679" s="3"/>
      <c r="B679" s="27"/>
      <c r="C679" s="27"/>
      <c r="D679" s="27"/>
      <c r="E679" s="27"/>
      <c r="F679" s="27"/>
      <c r="G679" s="27"/>
      <c r="H679" s="27"/>
    </row>
    <row r="680">
      <c r="A680" s="3"/>
      <c r="B680" s="27"/>
      <c r="C680" s="27"/>
      <c r="D680" s="27"/>
      <c r="E680" s="27"/>
      <c r="F680" s="27"/>
      <c r="G680" s="27"/>
      <c r="H680" s="27"/>
    </row>
    <row r="681">
      <c r="A681" s="3"/>
      <c r="B681" s="27"/>
      <c r="C681" s="27"/>
      <c r="D681" s="27"/>
      <c r="E681" s="27"/>
      <c r="F681" s="27"/>
      <c r="G681" s="27"/>
      <c r="H681" s="27"/>
    </row>
    <row r="682">
      <c r="A682" s="3"/>
      <c r="B682" s="27"/>
      <c r="C682" s="27"/>
      <c r="D682" s="27"/>
      <c r="E682" s="27"/>
      <c r="F682" s="27"/>
      <c r="G682" s="27"/>
      <c r="H682" s="27"/>
    </row>
    <row r="683">
      <c r="A683" s="3"/>
      <c r="B683" s="27"/>
      <c r="C683" s="27"/>
      <c r="D683" s="27"/>
      <c r="E683" s="27"/>
      <c r="F683" s="27"/>
      <c r="G683" s="27"/>
      <c r="H683" s="27"/>
    </row>
    <row r="684">
      <c r="A684" s="3"/>
      <c r="B684" s="27"/>
      <c r="C684" s="27"/>
      <c r="D684" s="27"/>
      <c r="E684" s="27"/>
      <c r="F684" s="27"/>
      <c r="G684" s="27"/>
      <c r="H684" s="27"/>
    </row>
    <row r="685">
      <c r="A685" s="3"/>
      <c r="B685" s="27"/>
      <c r="C685" s="27"/>
      <c r="D685" s="27"/>
      <c r="E685" s="27"/>
      <c r="F685" s="27"/>
      <c r="G685" s="27"/>
      <c r="H685" s="27"/>
    </row>
    <row r="686">
      <c r="A686" s="3"/>
      <c r="B686" s="27"/>
      <c r="C686" s="27"/>
      <c r="D686" s="27"/>
      <c r="E686" s="27"/>
      <c r="F686" s="27"/>
      <c r="G686" s="27"/>
      <c r="H686" s="27"/>
    </row>
    <row r="687">
      <c r="A687" s="3"/>
      <c r="B687" s="27"/>
      <c r="C687" s="27"/>
      <c r="D687" s="27"/>
      <c r="E687" s="27"/>
      <c r="F687" s="27"/>
      <c r="G687" s="27"/>
      <c r="H687" s="27"/>
    </row>
    <row r="688">
      <c r="A688" s="3"/>
      <c r="B688" s="27"/>
      <c r="C688" s="27"/>
      <c r="D688" s="27"/>
      <c r="E688" s="27"/>
      <c r="F688" s="27"/>
      <c r="G688" s="27"/>
      <c r="H688" s="27"/>
    </row>
    <row r="689">
      <c r="A689" s="3"/>
      <c r="B689" s="27"/>
      <c r="C689" s="27"/>
      <c r="D689" s="27"/>
      <c r="E689" s="27"/>
      <c r="F689" s="27"/>
      <c r="G689" s="27"/>
      <c r="H689" s="27"/>
    </row>
    <row r="690">
      <c r="A690" s="3"/>
      <c r="B690" s="27"/>
      <c r="C690" s="27"/>
      <c r="D690" s="27"/>
      <c r="E690" s="27"/>
      <c r="F690" s="27"/>
      <c r="G690" s="27"/>
      <c r="H690" s="27"/>
    </row>
    <row r="691">
      <c r="A691" s="3"/>
      <c r="B691" s="27"/>
      <c r="C691" s="27"/>
      <c r="D691" s="27"/>
      <c r="E691" s="27"/>
      <c r="F691" s="27"/>
      <c r="G691" s="27"/>
      <c r="H691" s="27"/>
    </row>
    <row r="692">
      <c r="A692" s="3"/>
      <c r="B692" s="27"/>
      <c r="C692" s="27"/>
      <c r="D692" s="27"/>
      <c r="E692" s="27"/>
      <c r="F692" s="27"/>
      <c r="G692" s="27"/>
      <c r="H692" s="27"/>
    </row>
    <row r="693">
      <c r="A693" s="3"/>
      <c r="B693" s="27"/>
      <c r="C693" s="27"/>
      <c r="D693" s="27"/>
      <c r="E693" s="27"/>
      <c r="F693" s="27"/>
      <c r="G693" s="27"/>
      <c r="H693" s="27"/>
    </row>
    <row r="694">
      <c r="A694" s="3"/>
      <c r="B694" s="27"/>
      <c r="C694" s="27"/>
      <c r="D694" s="27"/>
      <c r="E694" s="27"/>
      <c r="F694" s="27"/>
      <c r="G694" s="27"/>
      <c r="H694" s="27"/>
    </row>
    <row r="695">
      <c r="A695" s="3"/>
      <c r="B695" s="27"/>
      <c r="C695" s="27"/>
      <c r="D695" s="27"/>
      <c r="E695" s="27"/>
      <c r="F695" s="27"/>
      <c r="G695" s="27"/>
      <c r="H695" s="27"/>
    </row>
    <row r="696">
      <c r="A696" s="3"/>
      <c r="B696" s="27"/>
      <c r="C696" s="27"/>
      <c r="D696" s="27"/>
      <c r="E696" s="27"/>
      <c r="F696" s="27"/>
      <c r="G696" s="27"/>
      <c r="H696" s="27"/>
    </row>
    <row r="697">
      <c r="A697" s="3"/>
      <c r="B697" s="27"/>
      <c r="C697" s="27"/>
      <c r="D697" s="27"/>
      <c r="E697" s="27"/>
      <c r="F697" s="27"/>
      <c r="G697" s="27"/>
      <c r="H697" s="27"/>
    </row>
    <row r="698">
      <c r="A698" s="3"/>
      <c r="B698" s="27"/>
      <c r="C698" s="27"/>
      <c r="D698" s="27"/>
      <c r="E698" s="27"/>
      <c r="F698" s="27"/>
      <c r="G698" s="27"/>
      <c r="H698" s="27"/>
    </row>
    <row r="699">
      <c r="A699" s="3"/>
      <c r="B699" s="27"/>
      <c r="C699" s="27"/>
      <c r="D699" s="27"/>
      <c r="E699" s="27"/>
      <c r="F699" s="27"/>
      <c r="G699" s="27"/>
      <c r="H699" s="27"/>
    </row>
    <row r="700">
      <c r="A700" s="3"/>
      <c r="B700" s="27"/>
      <c r="C700" s="27"/>
      <c r="D700" s="27"/>
      <c r="E700" s="27"/>
      <c r="F700" s="27"/>
      <c r="G700" s="27"/>
      <c r="H700" s="27"/>
    </row>
    <row r="701">
      <c r="A701" s="3"/>
      <c r="B701" s="27"/>
      <c r="C701" s="27"/>
      <c r="D701" s="27"/>
      <c r="E701" s="27"/>
      <c r="F701" s="27"/>
      <c r="G701" s="27"/>
      <c r="H701" s="27"/>
    </row>
    <row r="702">
      <c r="A702" s="3"/>
      <c r="B702" s="27"/>
      <c r="C702" s="27"/>
      <c r="D702" s="27"/>
      <c r="E702" s="27"/>
      <c r="F702" s="27"/>
      <c r="G702" s="27"/>
      <c r="H702" s="27"/>
    </row>
    <row r="703">
      <c r="A703" s="3"/>
      <c r="B703" s="27"/>
      <c r="C703" s="27"/>
      <c r="D703" s="27"/>
      <c r="E703" s="27"/>
      <c r="F703" s="27"/>
      <c r="G703" s="27"/>
      <c r="H703" s="27"/>
    </row>
    <row r="704">
      <c r="A704" s="3"/>
      <c r="B704" s="27"/>
      <c r="C704" s="27"/>
      <c r="D704" s="27"/>
      <c r="E704" s="27"/>
      <c r="F704" s="27"/>
      <c r="G704" s="27"/>
      <c r="H704" s="27"/>
    </row>
    <row r="705">
      <c r="A705" s="3"/>
      <c r="B705" s="27"/>
      <c r="C705" s="27"/>
      <c r="D705" s="27"/>
      <c r="E705" s="27"/>
      <c r="F705" s="27"/>
      <c r="G705" s="27"/>
      <c r="H705" s="27"/>
    </row>
    <row r="706">
      <c r="A706" s="3"/>
      <c r="B706" s="27"/>
      <c r="C706" s="27"/>
      <c r="D706" s="27"/>
      <c r="E706" s="27"/>
      <c r="F706" s="27"/>
      <c r="G706" s="27"/>
      <c r="H706" s="27"/>
    </row>
    <row r="707">
      <c r="A707" s="3"/>
      <c r="B707" s="27"/>
      <c r="C707" s="27"/>
      <c r="D707" s="27"/>
      <c r="E707" s="27"/>
      <c r="F707" s="27"/>
      <c r="G707" s="27"/>
      <c r="H707" s="27"/>
    </row>
    <row r="708">
      <c r="A708" s="3"/>
      <c r="B708" s="27"/>
      <c r="C708" s="27"/>
      <c r="D708" s="27"/>
      <c r="E708" s="27"/>
      <c r="F708" s="27"/>
      <c r="G708" s="27"/>
      <c r="H708" s="27"/>
    </row>
    <row r="709">
      <c r="A709" s="3"/>
      <c r="B709" s="27"/>
      <c r="C709" s="27"/>
      <c r="D709" s="27"/>
      <c r="E709" s="27"/>
      <c r="F709" s="27"/>
      <c r="G709" s="27"/>
      <c r="H709" s="27"/>
    </row>
    <row r="710">
      <c r="A710" s="3"/>
      <c r="B710" s="27"/>
      <c r="C710" s="27"/>
      <c r="D710" s="27"/>
      <c r="E710" s="27"/>
      <c r="F710" s="27"/>
      <c r="G710" s="27"/>
      <c r="H710" s="27"/>
    </row>
    <row r="711">
      <c r="A711" s="3"/>
      <c r="B711" s="27"/>
      <c r="C711" s="27"/>
      <c r="D711" s="27"/>
      <c r="E711" s="27"/>
      <c r="F711" s="27"/>
      <c r="G711" s="27"/>
      <c r="H711" s="27"/>
    </row>
    <row r="712">
      <c r="A712" s="3"/>
      <c r="B712" s="27"/>
      <c r="C712" s="27"/>
      <c r="D712" s="27"/>
      <c r="E712" s="27"/>
      <c r="F712" s="27"/>
      <c r="G712" s="27"/>
      <c r="H712" s="27"/>
    </row>
    <row r="713">
      <c r="A713" s="3"/>
      <c r="B713" s="27"/>
      <c r="C713" s="27"/>
      <c r="D713" s="27"/>
      <c r="E713" s="27"/>
      <c r="F713" s="27"/>
      <c r="G713" s="27"/>
      <c r="H713" s="27"/>
    </row>
    <row r="714">
      <c r="A714" s="3"/>
      <c r="B714" s="27"/>
      <c r="C714" s="27"/>
      <c r="D714" s="27"/>
      <c r="E714" s="27"/>
      <c r="F714" s="27"/>
      <c r="G714" s="27"/>
      <c r="H714" s="27"/>
    </row>
    <row r="715">
      <c r="A715" s="3"/>
      <c r="B715" s="27"/>
      <c r="C715" s="27"/>
      <c r="D715" s="27"/>
      <c r="E715" s="27"/>
      <c r="F715" s="27"/>
      <c r="G715" s="27"/>
      <c r="H715" s="27"/>
    </row>
    <row r="716">
      <c r="A716" s="3"/>
      <c r="B716" s="27"/>
      <c r="C716" s="27"/>
      <c r="D716" s="27"/>
      <c r="E716" s="27"/>
      <c r="F716" s="27"/>
      <c r="G716" s="27"/>
      <c r="H716" s="27"/>
    </row>
    <row r="717">
      <c r="A717" s="3"/>
      <c r="B717" s="27"/>
      <c r="C717" s="27"/>
      <c r="D717" s="27"/>
      <c r="E717" s="27"/>
      <c r="F717" s="27"/>
      <c r="G717" s="27"/>
      <c r="H717" s="27"/>
    </row>
    <row r="718">
      <c r="A718" s="3"/>
      <c r="B718" s="27"/>
      <c r="C718" s="27"/>
      <c r="D718" s="27"/>
      <c r="E718" s="27"/>
      <c r="F718" s="27"/>
      <c r="G718" s="27"/>
      <c r="H718" s="27"/>
    </row>
    <row r="719">
      <c r="A719" s="3"/>
      <c r="B719" s="27"/>
      <c r="C719" s="27"/>
      <c r="D719" s="27"/>
      <c r="E719" s="27"/>
      <c r="F719" s="27"/>
      <c r="G719" s="27"/>
      <c r="H719" s="27"/>
    </row>
    <row r="720">
      <c r="A720" s="3"/>
      <c r="B720" s="27"/>
      <c r="C720" s="27"/>
      <c r="D720" s="27"/>
      <c r="E720" s="27"/>
      <c r="F720" s="27"/>
      <c r="G720" s="27"/>
      <c r="H720" s="27"/>
    </row>
    <row r="721">
      <c r="A721" s="3"/>
      <c r="B721" s="27"/>
      <c r="C721" s="27"/>
      <c r="D721" s="27"/>
      <c r="E721" s="27"/>
      <c r="F721" s="27"/>
      <c r="G721" s="27"/>
      <c r="H721" s="27"/>
    </row>
    <row r="722">
      <c r="A722" s="3"/>
      <c r="B722" s="27"/>
      <c r="C722" s="27"/>
      <c r="D722" s="27"/>
      <c r="E722" s="27"/>
      <c r="F722" s="27"/>
      <c r="G722" s="27"/>
      <c r="H722" s="27"/>
    </row>
    <row r="723">
      <c r="A723" s="3"/>
      <c r="B723" s="27"/>
      <c r="C723" s="27"/>
      <c r="D723" s="27"/>
      <c r="E723" s="27"/>
      <c r="F723" s="27"/>
      <c r="G723" s="27"/>
      <c r="H723" s="27"/>
    </row>
    <row r="724">
      <c r="A724" s="3"/>
      <c r="B724" s="27"/>
      <c r="C724" s="27"/>
      <c r="D724" s="27"/>
      <c r="E724" s="27"/>
      <c r="F724" s="27"/>
      <c r="G724" s="27"/>
      <c r="H724" s="27"/>
    </row>
    <row r="725">
      <c r="A725" s="3"/>
      <c r="B725" s="27"/>
      <c r="C725" s="27"/>
      <c r="D725" s="27"/>
      <c r="E725" s="27"/>
      <c r="F725" s="27"/>
      <c r="G725" s="27"/>
      <c r="H725" s="27"/>
    </row>
    <row r="726">
      <c r="A726" s="3"/>
      <c r="B726" s="27"/>
      <c r="C726" s="27"/>
      <c r="D726" s="27"/>
      <c r="E726" s="27"/>
      <c r="F726" s="27"/>
      <c r="G726" s="27"/>
      <c r="H726" s="27"/>
    </row>
    <row r="727">
      <c r="A727" s="3"/>
      <c r="B727" s="27"/>
      <c r="C727" s="27"/>
      <c r="D727" s="27"/>
      <c r="E727" s="27"/>
      <c r="F727" s="27"/>
      <c r="G727" s="27"/>
      <c r="H727" s="27"/>
    </row>
    <row r="728">
      <c r="A728" s="3"/>
      <c r="B728" s="27"/>
      <c r="C728" s="27"/>
      <c r="D728" s="27"/>
      <c r="E728" s="27"/>
      <c r="F728" s="27"/>
      <c r="G728" s="27"/>
      <c r="H728" s="27"/>
    </row>
    <row r="729">
      <c r="A729" s="3"/>
      <c r="B729" s="27"/>
      <c r="C729" s="27"/>
      <c r="D729" s="27"/>
      <c r="E729" s="27"/>
      <c r="F729" s="27"/>
      <c r="G729" s="27"/>
      <c r="H729" s="27"/>
    </row>
    <row r="730">
      <c r="A730" s="3"/>
      <c r="B730" s="27"/>
      <c r="C730" s="27"/>
      <c r="D730" s="27"/>
      <c r="E730" s="27"/>
      <c r="F730" s="27"/>
      <c r="G730" s="27"/>
      <c r="H730" s="27"/>
    </row>
    <row r="731">
      <c r="A731" s="3"/>
      <c r="B731" s="27"/>
      <c r="C731" s="27"/>
      <c r="D731" s="27"/>
      <c r="E731" s="27"/>
      <c r="F731" s="27"/>
      <c r="G731" s="27"/>
      <c r="H731" s="27"/>
    </row>
    <row r="732">
      <c r="A732" s="3"/>
      <c r="B732" s="27"/>
      <c r="C732" s="27"/>
      <c r="D732" s="27"/>
      <c r="E732" s="27"/>
      <c r="F732" s="27"/>
      <c r="G732" s="27"/>
      <c r="H732" s="27"/>
    </row>
    <row r="733">
      <c r="A733" s="3"/>
      <c r="B733" s="27"/>
      <c r="C733" s="27"/>
      <c r="D733" s="27"/>
      <c r="E733" s="27"/>
      <c r="F733" s="27"/>
      <c r="G733" s="27"/>
      <c r="H733" s="27"/>
    </row>
    <row r="734">
      <c r="A734" s="3"/>
      <c r="B734" s="27"/>
      <c r="C734" s="27"/>
      <c r="D734" s="27"/>
      <c r="E734" s="27"/>
      <c r="F734" s="27"/>
      <c r="G734" s="27"/>
      <c r="H734" s="27"/>
    </row>
    <row r="735">
      <c r="A735" s="3"/>
      <c r="B735" s="27"/>
      <c r="C735" s="27"/>
      <c r="D735" s="27"/>
      <c r="E735" s="27"/>
      <c r="F735" s="27"/>
      <c r="G735" s="27"/>
      <c r="H735" s="27"/>
    </row>
    <row r="736">
      <c r="A736" s="3"/>
      <c r="B736" s="27"/>
      <c r="C736" s="27"/>
      <c r="D736" s="27"/>
      <c r="E736" s="27"/>
      <c r="F736" s="27"/>
      <c r="G736" s="27"/>
      <c r="H736" s="27"/>
    </row>
    <row r="737">
      <c r="A737" s="3"/>
      <c r="B737" s="27"/>
      <c r="C737" s="27"/>
      <c r="D737" s="27"/>
      <c r="E737" s="27"/>
      <c r="F737" s="27"/>
      <c r="G737" s="27"/>
      <c r="H737" s="27"/>
    </row>
    <row r="738">
      <c r="A738" s="3"/>
      <c r="B738" s="27"/>
      <c r="C738" s="27"/>
      <c r="D738" s="27"/>
      <c r="E738" s="27"/>
      <c r="F738" s="27"/>
      <c r="G738" s="27"/>
      <c r="H738" s="27"/>
    </row>
    <row r="739">
      <c r="A739" s="3"/>
      <c r="B739" s="27"/>
      <c r="C739" s="27"/>
      <c r="D739" s="27"/>
      <c r="E739" s="27"/>
      <c r="F739" s="27"/>
      <c r="G739" s="27"/>
      <c r="H739" s="27"/>
    </row>
    <row r="740">
      <c r="A740" s="3"/>
      <c r="B740" s="27"/>
      <c r="C740" s="27"/>
      <c r="D740" s="27"/>
      <c r="E740" s="27"/>
      <c r="F740" s="27"/>
      <c r="G740" s="27"/>
      <c r="H740" s="27"/>
    </row>
    <row r="741">
      <c r="A741" s="3"/>
      <c r="B741" s="27"/>
      <c r="C741" s="27"/>
      <c r="D741" s="27"/>
      <c r="E741" s="27"/>
      <c r="F741" s="27"/>
      <c r="G741" s="27"/>
      <c r="H741" s="27"/>
    </row>
    <row r="742">
      <c r="A742" s="3"/>
      <c r="B742" s="27"/>
      <c r="C742" s="27"/>
      <c r="D742" s="27"/>
      <c r="E742" s="27"/>
      <c r="F742" s="27"/>
      <c r="G742" s="27"/>
      <c r="H742" s="27"/>
    </row>
    <row r="743">
      <c r="A743" s="3"/>
      <c r="B743" s="27"/>
      <c r="C743" s="27"/>
      <c r="D743" s="27"/>
      <c r="E743" s="27"/>
      <c r="F743" s="27"/>
      <c r="G743" s="27"/>
      <c r="H743" s="27"/>
    </row>
    <row r="744">
      <c r="A744" s="3"/>
      <c r="B744" s="27"/>
      <c r="C744" s="27"/>
      <c r="D744" s="27"/>
      <c r="E744" s="27"/>
      <c r="F744" s="27"/>
      <c r="G744" s="27"/>
      <c r="H744" s="27"/>
    </row>
    <row r="745">
      <c r="A745" s="3"/>
      <c r="B745" s="27"/>
      <c r="C745" s="27"/>
      <c r="D745" s="27"/>
      <c r="E745" s="27"/>
      <c r="F745" s="27"/>
      <c r="G745" s="27"/>
      <c r="H745" s="27"/>
    </row>
    <row r="746">
      <c r="A746" s="3"/>
      <c r="B746" s="27"/>
      <c r="C746" s="27"/>
      <c r="D746" s="27"/>
      <c r="E746" s="27"/>
      <c r="F746" s="27"/>
      <c r="G746" s="27"/>
      <c r="H746" s="27"/>
    </row>
    <row r="747">
      <c r="A747" s="3"/>
      <c r="B747" s="27"/>
      <c r="C747" s="27"/>
      <c r="D747" s="27"/>
      <c r="E747" s="27"/>
      <c r="F747" s="27"/>
      <c r="G747" s="27"/>
      <c r="H747" s="27"/>
    </row>
    <row r="748">
      <c r="A748" s="3"/>
      <c r="B748" s="27"/>
      <c r="C748" s="27"/>
      <c r="D748" s="27"/>
      <c r="E748" s="27"/>
      <c r="F748" s="27"/>
      <c r="G748" s="27"/>
      <c r="H748" s="27"/>
    </row>
    <row r="749">
      <c r="A749" s="3"/>
      <c r="B749" s="27"/>
      <c r="C749" s="27"/>
      <c r="D749" s="27"/>
      <c r="E749" s="27"/>
      <c r="F749" s="27"/>
      <c r="G749" s="27"/>
      <c r="H749" s="27"/>
    </row>
    <row r="750">
      <c r="A750" s="3"/>
      <c r="B750" s="27"/>
      <c r="C750" s="27"/>
      <c r="D750" s="27"/>
      <c r="E750" s="27"/>
      <c r="F750" s="27"/>
      <c r="G750" s="27"/>
      <c r="H750" s="27"/>
    </row>
    <row r="751">
      <c r="A751" s="3"/>
      <c r="B751" s="27"/>
      <c r="C751" s="27"/>
      <c r="D751" s="27"/>
      <c r="E751" s="27"/>
      <c r="F751" s="27"/>
      <c r="G751" s="27"/>
      <c r="H751" s="27"/>
    </row>
    <row r="752">
      <c r="A752" s="3"/>
      <c r="B752" s="27"/>
      <c r="C752" s="27"/>
      <c r="D752" s="27"/>
      <c r="E752" s="27"/>
      <c r="F752" s="27"/>
      <c r="G752" s="27"/>
      <c r="H752" s="27"/>
    </row>
    <row r="753">
      <c r="A753" s="3"/>
      <c r="B753" s="27"/>
      <c r="C753" s="27"/>
      <c r="D753" s="27"/>
      <c r="E753" s="27"/>
      <c r="F753" s="27"/>
      <c r="G753" s="27"/>
      <c r="H753" s="27"/>
    </row>
    <row r="754">
      <c r="A754" s="3"/>
      <c r="B754" s="27"/>
      <c r="C754" s="27"/>
      <c r="D754" s="27"/>
      <c r="E754" s="27"/>
      <c r="F754" s="27"/>
      <c r="G754" s="27"/>
      <c r="H754" s="27"/>
    </row>
    <row r="755">
      <c r="A755" s="3"/>
      <c r="B755" s="27"/>
      <c r="C755" s="27"/>
      <c r="D755" s="27"/>
      <c r="E755" s="27"/>
      <c r="F755" s="27"/>
      <c r="G755" s="27"/>
      <c r="H755" s="27"/>
    </row>
    <row r="756">
      <c r="A756" s="3"/>
      <c r="B756" s="27"/>
      <c r="C756" s="27"/>
      <c r="D756" s="27"/>
      <c r="E756" s="27"/>
      <c r="F756" s="27"/>
      <c r="G756" s="27"/>
      <c r="H756" s="27"/>
    </row>
    <row r="757">
      <c r="A757" s="3"/>
      <c r="B757" s="27"/>
      <c r="C757" s="27"/>
      <c r="D757" s="27"/>
      <c r="E757" s="27"/>
      <c r="F757" s="27"/>
      <c r="G757" s="27"/>
      <c r="H757" s="27"/>
    </row>
    <row r="758">
      <c r="A758" s="3"/>
      <c r="B758" s="27"/>
      <c r="C758" s="27"/>
      <c r="D758" s="27"/>
      <c r="E758" s="27"/>
      <c r="F758" s="27"/>
      <c r="G758" s="27"/>
      <c r="H758" s="27"/>
    </row>
    <row r="759">
      <c r="A759" s="3"/>
      <c r="B759" s="27"/>
      <c r="C759" s="27"/>
      <c r="D759" s="27"/>
      <c r="E759" s="27"/>
      <c r="F759" s="27"/>
      <c r="G759" s="27"/>
      <c r="H759" s="27"/>
    </row>
    <row r="760">
      <c r="A760" s="3"/>
      <c r="B760" s="27"/>
      <c r="C760" s="27"/>
      <c r="D760" s="27"/>
      <c r="E760" s="27"/>
      <c r="F760" s="27"/>
      <c r="G760" s="27"/>
      <c r="H760" s="27"/>
    </row>
    <row r="761">
      <c r="A761" s="3"/>
      <c r="B761" s="27"/>
      <c r="C761" s="27"/>
      <c r="D761" s="27"/>
      <c r="E761" s="27"/>
      <c r="F761" s="27"/>
      <c r="G761" s="27"/>
      <c r="H761" s="27"/>
    </row>
    <row r="762">
      <c r="A762" s="3"/>
      <c r="B762" s="27"/>
      <c r="C762" s="27"/>
      <c r="D762" s="27"/>
      <c r="E762" s="27"/>
      <c r="F762" s="27"/>
      <c r="G762" s="27"/>
      <c r="H762" s="27"/>
    </row>
    <row r="763">
      <c r="A763" s="3"/>
      <c r="B763" s="27"/>
      <c r="C763" s="27"/>
      <c r="D763" s="27"/>
      <c r="E763" s="27"/>
      <c r="F763" s="27"/>
      <c r="G763" s="27"/>
      <c r="H763" s="27"/>
    </row>
    <row r="764">
      <c r="A764" s="3"/>
      <c r="B764" s="27"/>
      <c r="C764" s="27"/>
      <c r="D764" s="27"/>
      <c r="E764" s="27"/>
      <c r="F764" s="27"/>
      <c r="G764" s="27"/>
      <c r="H764" s="27"/>
    </row>
    <row r="765">
      <c r="A765" s="3"/>
      <c r="B765" s="27"/>
      <c r="C765" s="27"/>
      <c r="D765" s="27"/>
      <c r="E765" s="27"/>
      <c r="F765" s="27"/>
      <c r="G765" s="27"/>
      <c r="H765" s="27"/>
    </row>
    <row r="766">
      <c r="A766" s="3"/>
      <c r="B766" s="27"/>
      <c r="C766" s="27"/>
      <c r="D766" s="27"/>
      <c r="E766" s="27"/>
      <c r="F766" s="27"/>
      <c r="G766" s="27"/>
      <c r="H766" s="27"/>
    </row>
    <row r="767">
      <c r="A767" s="3"/>
      <c r="B767" s="27"/>
      <c r="C767" s="27"/>
      <c r="D767" s="27"/>
      <c r="E767" s="27"/>
      <c r="F767" s="27"/>
      <c r="G767" s="27"/>
      <c r="H767" s="27"/>
    </row>
    <row r="768">
      <c r="A768" s="3"/>
      <c r="B768" s="27"/>
      <c r="C768" s="27"/>
      <c r="D768" s="27"/>
      <c r="E768" s="27"/>
      <c r="F768" s="27"/>
      <c r="G768" s="27"/>
      <c r="H768" s="27"/>
    </row>
    <row r="769">
      <c r="A769" s="3"/>
      <c r="B769" s="27"/>
      <c r="C769" s="27"/>
      <c r="D769" s="27"/>
      <c r="E769" s="27"/>
      <c r="F769" s="27"/>
      <c r="G769" s="27"/>
      <c r="H769" s="27"/>
    </row>
    <row r="770">
      <c r="A770" s="3"/>
      <c r="B770" s="27"/>
      <c r="C770" s="27"/>
      <c r="D770" s="27"/>
      <c r="E770" s="27"/>
      <c r="F770" s="27"/>
      <c r="G770" s="27"/>
      <c r="H770" s="27"/>
    </row>
    <row r="771">
      <c r="A771" s="3"/>
      <c r="B771" s="27"/>
      <c r="C771" s="27"/>
      <c r="D771" s="27"/>
      <c r="E771" s="27"/>
      <c r="F771" s="27"/>
      <c r="G771" s="27"/>
      <c r="H771" s="27"/>
    </row>
    <row r="772">
      <c r="A772" s="3"/>
      <c r="B772" s="27"/>
      <c r="C772" s="27"/>
      <c r="D772" s="27"/>
      <c r="E772" s="27"/>
      <c r="F772" s="27"/>
      <c r="G772" s="27"/>
      <c r="H772" s="27"/>
    </row>
    <row r="773">
      <c r="A773" s="3"/>
      <c r="B773" s="27"/>
      <c r="C773" s="27"/>
      <c r="D773" s="27"/>
      <c r="E773" s="27"/>
      <c r="F773" s="27"/>
      <c r="G773" s="27"/>
      <c r="H773" s="27"/>
    </row>
    <row r="774">
      <c r="A774" s="3"/>
      <c r="B774" s="27"/>
      <c r="C774" s="27"/>
      <c r="D774" s="27"/>
      <c r="E774" s="27"/>
      <c r="F774" s="27"/>
      <c r="G774" s="27"/>
      <c r="H774" s="27"/>
    </row>
    <row r="775">
      <c r="A775" s="3"/>
      <c r="B775" s="27"/>
      <c r="C775" s="27"/>
      <c r="D775" s="27"/>
      <c r="E775" s="27"/>
      <c r="F775" s="27"/>
      <c r="G775" s="27"/>
      <c r="H775" s="27"/>
    </row>
    <row r="776">
      <c r="A776" s="3"/>
      <c r="B776" s="27"/>
      <c r="C776" s="27"/>
      <c r="D776" s="27"/>
      <c r="E776" s="27"/>
      <c r="F776" s="27"/>
      <c r="G776" s="27"/>
      <c r="H776" s="27"/>
    </row>
    <row r="777">
      <c r="A777" s="3"/>
      <c r="B777" s="27"/>
      <c r="C777" s="27"/>
      <c r="D777" s="27"/>
      <c r="E777" s="27"/>
      <c r="F777" s="27"/>
      <c r="G777" s="27"/>
      <c r="H777" s="27"/>
    </row>
    <row r="778">
      <c r="A778" s="3"/>
      <c r="B778" s="27"/>
      <c r="C778" s="27"/>
      <c r="D778" s="27"/>
      <c r="E778" s="27"/>
      <c r="F778" s="27"/>
      <c r="G778" s="27"/>
      <c r="H778" s="27"/>
    </row>
    <row r="779">
      <c r="A779" s="3"/>
      <c r="B779" s="27"/>
      <c r="C779" s="27"/>
      <c r="D779" s="27"/>
      <c r="E779" s="27"/>
      <c r="F779" s="27"/>
      <c r="G779" s="27"/>
      <c r="H779" s="27"/>
    </row>
    <row r="780">
      <c r="A780" s="3"/>
      <c r="B780" s="27"/>
      <c r="C780" s="27"/>
      <c r="D780" s="27"/>
      <c r="E780" s="27"/>
      <c r="F780" s="27"/>
      <c r="G780" s="27"/>
      <c r="H780" s="27"/>
    </row>
    <row r="781">
      <c r="A781" s="3"/>
      <c r="B781" s="27"/>
      <c r="C781" s="27"/>
      <c r="D781" s="27"/>
      <c r="E781" s="27"/>
      <c r="F781" s="27"/>
      <c r="G781" s="27"/>
      <c r="H781" s="27"/>
    </row>
    <row r="782">
      <c r="A782" s="3"/>
      <c r="B782" s="27"/>
      <c r="C782" s="27"/>
      <c r="D782" s="27"/>
      <c r="E782" s="27"/>
      <c r="F782" s="27"/>
      <c r="G782" s="27"/>
      <c r="H782" s="27"/>
    </row>
    <row r="783">
      <c r="A783" s="3"/>
      <c r="B783" s="27"/>
      <c r="C783" s="27"/>
      <c r="D783" s="27"/>
      <c r="E783" s="27"/>
      <c r="F783" s="27"/>
      <c r="G783" s="27"/>
      <c r="H783" s="27"/>
    </row>
    <row r="784">
      <c r="A784" s="3"/>
      <c r="B784" s="27"/>
      <c r="C784" s="27"/>
      <c r="D784" s="27"/>
      <c r="E784" s="27"/>
      <c r="F784" s="27"/>
      <c r="G784" s="27"/>
      <c r="H784" s="27"/>
    </row>
    <row r="785">
      <c r="A785" s="3"/>
      <c r="B785" s="27"/>
      <c r="C785" s="27"/>
      <c r="D785" s="27"/>
      <c r="E785" s="27"/>
      <c r="F785" s="27"/>
      <c r="G785" s="27"/>
      <c r="H785" s="27"/>
    </row>
    <row r="786">
      <c r="A786" s="3"/>
      <c r="B786" s="27"/>
      <c r="C786" s="27"/>
      <c r="D786" s="27"/>
      <c r="E786" s="27"/>
      <c r="F786" s="27"/>
      <c r="G786" s="27"/>
      <c r="H786" s="27"/>
    </row>
    <row r="787">
      <c r="A787" s="3"/>
      <c r="B787" s="27"/>
      <c r="C787" s="27"/>
      <c r="D787" s="27"/>
      <c r="E787" s="27"/>
      <c r="F787" s="27"/>
      <c r="G787" s="27"/>
      <c r="H787" s="27"/>
    </row>
    <row r="788">
      <c r="A788" s="3"/>
      <c r="B788" s="27"/>
      <c r="C788" s="27"/>
      <c r="D788" s="27"/>
      <c r="E788" s="27"/>
      <c r="F788" s="27"/>
      <c r="G788" s="27"/>
      <c r="H788" s="27"/>
    </row>
    <row r="789">
      <c r="A789" s="3"/>
      <c r="B789" s="27"/>
      <c r="C789" s="27"/>
      <c r="D789" s="27"/>
      <c r="E789" s="27"/>
      <c r="F789" s="27"/>
      <c r="G789" s="27"/>
      <c r="H789" s="27"/>
    </row>
    <row r="790">
      <c r="A790" s="3"/>
      <c r="B790" s="27"/>
      <c r="C790" s="27"/>
      <c r="D790" s="27"/>
      <c r="E790" s="27"/>
      <c r="F790" s="27"/>
      <c r="G790" s="27"/>
      <c r="H790" s="27"/>
    </row>
    <row r="791">
      <c r="A791" s="3"/>
      <c r="B791" s="27"/>
      <c r="C791" s="27"/>
      <c r="D791" s="27"/>
      <c r="E791" s="27"/>
      <c r="F791" s="27"/>
      <c r="G791" s="27"/>
      <c r="H791" s="27"/>
    </row>
    <row r="792">
      <c r="A792" s="3"/>
      <c r="B792" s="27"/>
      <c r="C792" s="27"/>
      <c r="D792" s="27"/>
      <c r="E792" s="27"/>
      <c r="F792" s="27"/>
      <c r="G792" s="27"/>
      <c r="H792" s="27"/>
    </row>
    <row r="793">
      <c r="A793" s="3"/>
      <c r="B793" s="27"/>
      <c r="C793" s="27"/>
      <c r="D793" s="27"/>
      <c r="E793" s="27"/>
      <c r="F793" s="27"/>
      <c r="G793" s="27"/>
      <c r="H793" s="27"/>
    </row>
    <row r="794">
      <c r="A794" s="3"/>
      <c r="B794" s="27"/>
      <c r="C794" s="27"/>
      <c r="D794" s="27"/>
      <c r="E794" s="27"/>
      <c r="F794" s="27"/>
      <c r="G794" s="27"/>
      <c r="H794" s="27"/>
    </row>
    <row r="795">
      <c r="A795" s="3"/>
      <c r="B795" s="27"/>
      <c r="C795" s="27"/>
      <c r="D795" s="27"/>
      <c r="E795" s="27"/>
      <c r="F795" s="27"/>
      <c r="G795" s="27"/>
      <c r="H795" s="27"/>
    </row>
    <row r="796">
      <c r="A796" s="3"/>
      <c r="B796" s="27"/>
      <c r="C796" s="27"/>
      <c r="D796" s="27"/>
      <c r="E796" s="27"/>
      <c r="F796" s="27"/>
      <c r="G796" s="27"/>
      <c r="H796" s="27"/>
    </row>
    <row r="797">
      <c r="A797" s="3"/>
      <c r="B797" s="27"/>
      <c r="C797" s="27"/>
      <c r="D797" s="27"/>
      <c r="E797" s="27"/>
      <c r="F797" s="27"/>
      <c r="G797" s="27"/>
      <c r="H797" s="27"/>
    </row>
    <row r="798">
      <c r="A798" s="3"/>
      <c r="B798" s="27"/>
      <c r="C798" s="27"/>
      <c r="D798" s="27"/>
      <c r="E798" s="27"/>
      <c r="F798" s="27"/>
      <c r="G798" s="27"/>
      <c r="H798" s="27"/>
    </row>
    <row r="799">
      <c r="A799" s="3"/>
      <c r="B799" s="27"/>
      <c r="C799" s="27"/>
      <c r="D799" s="27"/>
      <c r="E799" s="27"/>
      <c r="F799" s="27"/>
      <c r="G799" s="27"/>
      <c r="H799" s="27"/>
    </row>
    <row r="800">
      <c r="A800" s="3"/>
      <c r="B800" s="27"/>
      <c r="C800" s="27"/>
      <c r="D800" s="27"/>
      <c r="E800" s="27"/>
      <c r="F800" s="27"/>
      <c r="G800" s="27"/>
      <c r="H800" s="27"/>
    </row>
    <row r="801">
      <c r="A801" s="3"/>
      <c r="B801" s="27"/>
      <c r="C801" s="27"/>
      <c r="D801" s="27"/>
      <c r="E801" s="27"/>
      <c r="F801" s="27"/>
      <c r="G801" s="27"/>
      <c r="H801" s="27"/>
    </row>
    <row r="802">
      <c r="A802" s="3"/>
      <c r="B802" s="27"/>
      <c r="C802" s="27"/>
      <c r="D802" s="27"/>
      <c r="E802" s="27"/>
      <c r="F802" s="27"/>
      <c r="G802" s="27"/>
      <c r="H802" s="27"/>
    </row>
    <row r="803">
      <c r="A803" s="3"/>
      <c r="B803" s="27"/>
      <c r="C803" s="27"/>
      <c r="D803" s="27"/>
      <c r="E803" s="27"/>
      <c r="F803" s="27"/>
      <c r="G803" s="27"/>
      <c r="H803" s="27"/>
    </row>
    <row r="804">
      <c r="A804" s="3"/>
      <c r="B804" s="27"/>
      <c r="C804" s="27"/>
      <c r="D804" s="27"/>
      <c r="E804" s="27"/>
      <c r="F804" s="27"/>
      <c r="G804" s="27"/>
      <c r="H804" s="27"/>
    </row>
    <row r="805">
      <c r="A805" s="3"/>
      <c r="B805" s="27"/>
      <c r="C805" s="27"/>
      <c r="D805" s="27"/>
      <c r="E805" s="27"/>
      <c r="F805" s="27"/>
      <c r="G805" s="27"/>
      <c r="H805" s="27"/>
    </row>
    <row r="806">
      <c r="A806" s="3"/>
      <c r="B806" s="27"/>
      <c r="C806" s="27"/>
      <c r="D806" s="27"/>
      <c r="E806" s="27"/>
      <c r="F806" s="27"/>
      <c r="G806" s="27"/>
      <c r="H806" s="27"/>
    </row>
    <row r="807">
      <c r="A807" s="3"/>
      <c r="B807" s="27"/>
      <c r="C807" s="27"/>
      <c r="D807" s="27"/>
      <c r="E807" s="27"/>
      <c r="F807" s="27"/>
      <c r="G807" s="27"/>
      <c r="H807" s="27"/>
    </row>
    <row r="808">
      <c r="A808" s="3"/>
      <c r="B808" s="27"/>
      <c r="C808" s="27"/>
      <c r="D808" s="27"/>
      <c r="E808" s="27"/>
      <c r="F808" s="27"/>
      <c r="G808" s="27"/>
      <c r="H808" s="27"/>
    </row>
    <row r="809">
      <c r="A809" s="3"/>
      <c r="B809" s="27"/>
      <c r="C809" s="27"/>
      <c r="D809" s="27"/>
      <c r="E809" s="27"/>
      <c r="F809" s="27"/>
      <c r="G809" s="27"/>
      <c r="H809" s="27"/>
    </row>
    <row r="810">
      <c r="A810" s="3"/>
      <c r="B810" s="27"/>
      <c r="C810" s="27"/>
      <c r="D810" s="27"/>
      <c r="E810" s="27"/>
      <c r="F810" s="27"/>
      <c r="G810" s="27"/>
      <c r="H810" s="27"/>
    </row>
    <row r="811">
      <c r="A811" s="3"/>
      <c r="B811" s="27"/>
      <c r="C811" s="27"/>
      <c r="D811" s="27"/>
      <c r="E811" s="27"/>
      <c r="F811" s="27"/>
      <c r="G811" s="27"/>
      <c r="H811" s="27"/>
    </row>
    <row r="812">
      <c r="A812" s="3"/>
      <c r="B812" s="27"/>
      <c r="C812" s="27"/>
      <c r="D812" s="27"/>
      <c r="E812" s="27"/>
      <c r="F812" s="27"/>
      <c r="G812" s="27"/>
      <c r="H812" s="27"/>
    </row>
    <row r="813">
      <c r="A813" s="3"/>
      <c r="B813" s="27"/>
      <c r="C813" s="27"/>
      <c r="D813" s="27"/>
      <c r="E813" s="27"/>
      <c r="F813" s="27"/>
      <c r="G813" s="27"/>
      <c r="H813" s="27"/>
    </row>
    <row r="814">
      <c r="A814" s="3"/>
      <c r="B814" s="27"/>
      <c r="C814" s="27"/>
      <c r="D814" s="27"/>
      <c r="E814" s="27"/>
      <c r="F814" s="27"/>
      <c r="G814" s="27"/>
      <c r="H814" s="27"/>
    </row>
    <row r="815">
      <c r="A815" s="3"/>
      <c r="B815" s="27"/>
      <c r="C815" s="27"/>
      <c r="D815" s="27"/>
      <c r="E815" s="27"/>
      <c r="F815" s="27"/>
      <c r="G815" s="27"/>
      <c r="H815" s="27"/>
    </row>
    <row r="816">
      <c r="A816" s="3"/>
      <c r="B816" s="27"/>
      <c r="C816" s="27"/>
      <c r="D816" s="27"/>
      <c r="E816" s="27"/>
      <c r="F816" s="27"/>
      <c r="G816" s="27"/>
      <c r="H816" s="27"/>
    </row>
    <row r="817">
      <c r="A817" s="3"/>
      <c r="B817" s="27"/>
      <c r="C817" s="27"/>
      <c r="D817" s="27"/>
      <c r="E817" s="27"/>
      <c r="F817" s="27"/>
      <c r="G817" s="27"/>
      <c r="H817" s="27"/>
    </row>
    <row r="818">
      <c r="A818" s="3"/>
      <c r="B818" s="27"/>
      <c r="C818" s="27"/>
      <c r="D818" s="27"/>
      <c r="E818" s="27"/>
      <c r="F818" s="27"/>
      <c r="G818" s="27"/>
      <c r="H818" s="27"/>
    </row>
    <row r="819">
      <c r="A819" s="3"/>
      <c r="B819" s="27"/>
      <c r="C819" s="27"/>
      <c r="D819" s="27"/>
      <c r="E819" s="27"/>
      <c r="F819" s="27"/>
      <c r="G819" s="27"/>
      <c r="H819" s="27"/>
    </row>
    <row r="820">
      <c r="A820" s="3"/>
      <c r="B820" s="27"/>
      <c r="C820" s="27"/>
      <c r="D820" s="27"/>
      <c r="E820" s="27"/>
      <c r="F820" s="27"/>
      <c r="G820" s="27"/>
      <c r="H820" s="27"/>
    </row>
    <row r="821">
      <c r="A821" s="3"/>
      <c r="B821" s="27"/>
      <c r="C821" s="27"/>
      <c r="D821" s="27"/>
      <c r="E821" s="27"/>
      <c r="F821" s="27"/>
      <c r="G821" s="27"/>
      <c r="H821" s="27"/>
    </row>
    <row r="822">
      <c r="A822" s="3"/>
      <c r="B822" s="27"/>
      <c r="C822" s="27"/>
      <c r="D822" s="27"/>
      <c r="E822" s="27"/>
      <c r="F822" s="27"/>
      <c r="G822" s="27"/>
      <c r="H822" s="27"/>
    </row>
    <row r="823">
      <c r="A823" s="3"/>
      <c r="B823" s="27"/>
      <c r="C823" s="27"/>
      <c r="D823" s="27"/>
      <c r="E823" s="27"/>
      <c r="F823" s="27"/>
      <c r="G823" s="27"/>
      <c r="H823" s="27"/>
    </row>
    <row r="824">
      <c r="A824" s="3"/>
      <c r="B824" s="27"/>
      <c r="C824" s="27"/>
      <c r="D824" s="27"/>
      <c r="E824" s="27"/>
      <c r="F824" s="27"/>
      <c r="G824" s="27"/>
      <c r="H824" s="27"/>
    </row>
    <row r="825">
      <c r="A825" s="3"/>
      <c r="B825" s="27"/>
      <c r="C825" s="27"/>
      <c r="D825" s="27"/>
      <c r="E825" s="27"/>
      <c r="F825" s="27"/>
      <c r="G825" s="27"/>
      <c r="H825" s="27"/>
    </row>
    <row r="826">
      <c r="A826" s="3"/>
      <c r="B826" s="27"/>
      <c r="C826" s="27"/>
      <c r="D826" s="27"/>
      <c r="E826" s="27"/>
      <c r="F826" s="27"/>
      <c r="G826" s="27"/>
      <c r="H826" s="27"/>
    </row>
    <row r="827">
      <c r="A827" s="3"/>
      <c r="B827" s="27"/>
      <c r="C827" s="27"/>
      <c r="D827" s="27"/>
      <c r="E827" s="27"/>
      <c r="F827" s="27"/>
      <c r="G827" s="27"/>
      <c r="H827" s="27"/>
    </row>
    <row r="828">
      <c r="A828" s="3"/>
      <c r="B828" s="27"/>
      <c r="C828" s="27"/>
      <c r="D828" s="27"/>
      <c r="E828" s="27"/>
      <c r="F828" s="27"/>
      <c r="G828" s="27"/>
      <c r="H828" s="27"/>
    </row>
    <row r="829">
      <c r="A829" s="3"/>
      <c r="B829" s="27"/>
      <c r="C829" s="27"/>
      <c r="D829" s="27"/>
      <c r="E829" s="27"/>
      <c r="F829" s="27"/>
      <c r="G829" s="27"/>
      <c r="H829" s="27"/>
    </row>
    <row r="830">
      <c r="A830" s="3"/>
      <c r="B830" s="27"/>
      <c r="C830" s="27"/>
      <c r="D830" s="27"/>
      <c r="E830" s="27"/>
      <c r="F830" s="27"/>
      <c r="G830" s="27"/>
      <c r="H830" s="27"/>
    </row>
    <row r="831">
      <c r="A831" s="3"/>
      <c r="B831" s="27"/>
      <c r="C831" s="27"/>
      <c r="D831" s="27"/>
      <c r="E831" s="27"/>
      <c r="F831" s="27"/>
      <c r="G831" s="27"/>
      <c r="H831" s="27"/>
    </row>
    <row r="832">
      <c r="A832" s="3"/>
      <c r="B832" s="27"/>
      <c r="C832" s="27"/>
      <c r="D832" s="27"/>
      <c r="E832" s="27"/>
      <c r="F832" s="27"/>
      <c r="G832" s="27"/>
      <c r="H832" s="27"/>
    </row>
    <row r="833">
      <c r="A833" s="3"/>
      <c r="B833" s="27"/>
      <c r="C833" s="27"/>
      <c r="D833" s="27"/>
      <c r="E833" s="27"/>
      <c r="F833" s="27"/>
      <c r="G833" s="27"/>
      <c r="H833" s="27"/>
    </row>
    <row r="834">
      <c r="A834" s="3"/>
      <c r="B834" s="27"/>
      <c r="C834" s="27"/>
      <c r="D834" s="27"/>
      <c r="E834" s="27"/>
      <c r="F834" s="27"/>
      <c r="G834" s="27"/>
      <c r="H834" s="27"/>
    </row>
    <row r="835">
      <c r="A835" s="3"/>
      <c r="B835" s="27"/>
      <c r="C835" s="27"/>
      <c r="D835" s="27"/>
      <c r="E835" s="27"/>
      <c r="F835" s="27"/>
      <c r="G835" s="27"/>
      <c r="H835" s="27"/>
    </row>
    <row r="836">
      <c r="A836" s="3"/>
      <c r="B836" s="27"/>
      <c r="C836" s="27"/>
      <c r="D836" s="27"/>
      <c r="E836" s="27"/>
      <c r="F836" s="27"/>
      <c r="G836" s="27"/>
      <c r="H836" s="27"/>
    </row>
    <row r="837">
      <c r="A837" s="3"/>
      <c r="B837" s="27"/>
      <c r="C837" s="27"/>
      <c r="D837" s="27"/>
      <c r="E837" s="27"/>
      <c r="F837" s="27"/>
      <c r="G837" s="27"/>
      <c r="H837" s="27"/>
    </row>
    <row r="838">
      <c r="A838" s="3"/>
      <c r="B838" s="27"/>
      <c r="C838" s="27"/>
      <c r="D838" s="27"/>
      <c r="E838" s="27"/>
      <c r="F838" s="27"/>
      <c r="G838" s="27"/>
      <c r="H838" s="27"/>
    </row>
    <row r="839">
      <c r="A839" s="3"/>
      <c r="B839" s="27"/>
      <c r="C839" s="27"/>
      <c r="D839" s="27"/>
      <c r="E839" s="27"/>
      <c r="F839" s="27"/>
      <c r="G839" s="27"/>
      <c r="H839" s="27"/>
    </row>
    <row r="840">
      <c r="A840" s="3"/>
      <c r="B840" s="27"/>
      <c r="C840" s="27"/>
      <c r="D840" s="27"/>
      <c r="E840" s="27"/>
      <c r="F840" s="27"/>
      <c r="G840" s="27"/>
      <c r="H840" s="27"/>
    </row>
    <row r="841">
      <c r="A841" s="3"/>
      <c r="B841" s="27"/>
      <c r="C841" s="27"/>
      <c r="D841" s="27"/>
      <c r="E841" s="27"/>
      <c r="F841" s="27"/>
      <c r="G841" s="27"/>
      <c r="H841" s="27"/>
    </row>
    <row r="842">
      <c r="A842" s="3"/>
      <c r="B842" s="27"/>
      <c r="C842" s="27"/>
      <c r="D842" s="27"/>
      <c r="E842" s="27"/>
      <c r="F842" s="27"/>
      <c r="G842" s="27"/>
      <c r="H842" s="27"/>
    </row>
    <row r="843">
      <c r="A843" s="3"/>
      <c r="B843" s="27"/>
      <c r="C843" s="27"/>
      <c r="D843" s="27"/>
      <c r="E843" s="27"/>
      <c r="F843" s="27"/>
      <c r="G843" s="27"/>
      <c r="H843" s="27"/>
    </row>
    <row r="844">
      <c r="A844" s="3"/>
      <c r="B844" s="27"/>
      <c r="C844" s="27"/>
      <c r="D844" s="27"/>
      <c r="E844" s="27"/>
      <c r="F844" s="27"/>
      <c r="G844" s="27"/>
      <c r="H844" s="27"/>
    </row>
    <row r="845">
      <c r="A845" s="3"/>
      <c r="B845" s="27"/>
      <c r="C845" s="27"/>
      <c r="D845" s="27"/>
      <c r="E845" s="27"/>
      <c r="F845" s="27"/>
      <c r="G845" s="27"/>
      <c r="H845" s="27"/>
    </row>
    <row r="846">
      <c r="A846" s="3"/>
      <c r="B846" s="27"/>
      <c r="C846" s="27"/>
      <c r="D846" s="27"/>
      <c r="E846" s="27"/>
      <c r="F846" s="27"/>
      <c r="G846" s="27"/>
      <c r="H846" s="27"/>
    </row>
    <row r="847">
      <c r="A847" s="3"/>
      <c r="B847" s="27"/>
      <c r="C847" s="27"/>
      <c r="D847" s="27"/>
      <c r="E847" s="27"/>
      <c r="F847" s="27"/>
      <c r="G847" s="27"/>
      <c r="H847" s="27"/>
    </row>
    <row r="848">
      <c r="A848" s="3"/>
      <c r="B848" s="27"/>
      <c r="C848" s="27"/>
      <c r="D848" s="27"/>
      <c r="E848" s="27"/>
      <c r="F848" s="27"/>
      <c r="G848" s="27"/>
      <c r="H848" s="27"/>
    </row>
    <row r="849">
      <c r="A849" s="3"/>
      <c r="B849" s="27"/>
      <c r="C849" s="27"/>
      <c r="D849" s="27"/>
      <c r="E849" s="27"/>
      <c r="F849" s="27"/>
      <c r="G849" s="27"/>
      <c r="H849" s="27"/>
    </row>
    <row r="850">
      <c r="A850" s="3"/>
      <c r="B850" s="27"/>
      <c r="C850" s="27"/>
      <c r="D850" s="27"/>
      <c r="E850" s="27"/>
      <c r="F850" s="27"/>
      <c r="G850" s="27"/>
      <c r="H850" s="27"/>
    </row>
    <row r="851">
      <c r="A851" s="3"/>
      <c r="B851" s="27"/>
      <c r="C851" s="27"/>
      <c r="D851" s="27"/>
      <c r="E851" s="27"/>
      <c r="F851" s="27"/>
      <c r="G851" s="27"/>
      <c r="H851" s="27"/>
    </row>
    <row r="852">
      <c r="A852" s="3"/>
      <c r="B852" s="27"/>
      <c r="C852" s="27"/>
      <c r="D852" s="27"/>
      <c r="E852" s="27"/>
      <c r="F852" s="27"/>
      <c r="G852" s="27"/>
      <c r="H852" s="27"/>
    </row>
    <row r="853">
      <c r="A853" s="3"/>
      <c r="B853" s="27"/>
      <c r="C853" s="27"/>
      <c r="D853" s="27"/>
      <c r="E853" s="27"/>
      <c r="F853" s="27"/>
      <c r="G853" s="27"/>
      <c r="H853" s="27"/>
    </row>
    <row r="854">
      <c r="A854" s="3"/>
      <c r="B854" s="27"/>
      <c r="C854" s="27"/>
      <c r="D854" s="27"/>
      <c r="E854" s="27"/>
      <c r="F854" s="27"/>
      <c r="G854" s="27"/>
      <c r="H854" s="27"/>
    </row>
    <row r="855">
      <c r="A855" s="3"/>
      <c r="B855" s="27"/>
      <c r="C855" s="27"/>
      <c r="D855" s="27"/>
      <c r="E855" s="27"/>
      <c r="F855" s="27"/>
      <c r="G855" s="27"/>
      <c r="H855" s="27"/>
    </row>
    <row r="856">
      <c r="A856" s="3"/>
      <c r="B856" s="27"/>
      <c r="C856" s="27"/>
      <c r="D856" s="27"/>
      <c r="E856" s="27"/>
      <c r="F856" s="27"/>
      <c r="G856" s="27"/>
      <c r="H856" s="27"/>
    </row>
    <row r="857">
      <c r="A857" s="3"/>
      <c r="B857" s="27"/>
      <c r="C857" s="27"/>
      <c r="D857" s="27"/>
      <c r="E857" s="27"/>
      <c r="F857" s="27"/>
      <c r="G857" s="27"/>
      <c r="H857" s="27"/>
    </row>
    <row r="858">
      <c r="A858" s="3"/>
      <c r="B858" s="27"/>
      <c r="C858" s="27"/>
      <c r="D858" s="27"/>
      <c r="E858" s="27"/>
      <c r="F858" s="27"/>
      <c r="G858" s="27"/>
      <c r="H858" s="27"/>
    </row>
    <row r="859">
      <c r="A859" s="3"/>
      <c r="B859" s="27"/>
      <c r="C859" s="27"/>
      <c r="D859" s="27"/>
      <c r="E859" s="27"/>
      <c r="F859" s="27"/>
      <c r="G859" s="27"/>
      <c r="H859" s="27"/>
    </row>
    <row r="860">
      <c r="A860" s="3"/>
      <c r="B860" s="27"/>
      <c r="C860" s="27"/>
      <c r="D860" s="27"/>
      <c r="E860" s="27"/>
      <c r="F860" s="27"/>
      <c r="G860" s="27"/>
      <c r="H860" s="27"/>
    </row>
    <row r="861">
      <c r="A861" s="3"/>
      <c r="B861" s="27"/>
      <c r="C861" s="27"/>
      <c r="D861" s="27"/>
      <c r="E861" s="27"/>
      <c r="F861" s="27"/>
      <c r="G861" s="27"/>
      <c r="H861" s="27"/>
    </row>
    <row r="862">
      <c r="A862" s="3"/>
      <c r="B862" s="27"/>
      <c r="C862" s="27"/>
      <c r="D862" s="27"/>
      <c r="E862" s="27"/>
      <c r="F862" s="27"/>
      <c r="G862" s="27"/>
      <c r="H862" s="27"/>
    </row>
    <row r="863">
      <c r="A863" s="3"/>
      <c r="B863" s="27"/>
      <c r="C863" s="27"/>
      <c r="D863" s="27"/>
      <c r="E863" s="27"/>
      <c r="F863" s="27"/>
      <c r="G863" s="27"/>
      <c r="H863" s="27"/>
    </row>
    <row r="864">
      <c r="A864" s="3"/>
      <c r="B864" s="27"/>
      <c r="C864" s="27"/>
      <c r="D864" s="27"/>
      <c r="E864" s="27"/>
      <c r="F864" s="27"/>
      <c r="G864" s="27"/>
      <c r="H864" s="27"/>
    </row>
    <row r="865">
      <c r="A865" s="3"/>
      <c r="B865" s="27"/>
      <c r="C865" s="27"/>
      <c r="D865" s="27"/>
      <c r="E865" s="27"/>
      <c r="F865" s="27"/>
      <c r="G865" s="27"/>
      <c r="H865" s="27"/>
    </row>
    <row r="866">
      <c r="A866" s="3"/>
      <c r="B866" s="27"/>
      <c r="C866" s="27"/>
      <c r="D866" s="27"/>
      <c r="E866" s="27"/>
      <c r="F866" s="27"/>
      <c r="G866" s="27"/>
      <c r="H866" s="27"/>
    </row>
    <row r="867">
      <c r="A867" s="3"/>
      <c r="B867" s="27"/>
      <c r="C867" s="27"/>
      <c r="D867" s="27"/>
      <c r="E867" s="27"/>
      <c r="F867" s="27"/>
      <c r="G867" s="27"/>
      <c r="H867" s="27"/>
    </row>
    <row r="868">
      <c r="A868" s="3"/>
      <c r="B868" s="27"/>
      <c r="C868" s="27"/>
      <c r="D868" s="27"/>
      <c r="E868" s="27"/>
      <c r="F868" s="27"/>
      <c r="G868" s="27"/>
      <c r="H868" s="27"/>
    </row>
    <row r="869">
      <c r="A869" s="3"/>
      <c r="B869" s="27"/>
      <c r="C869" s="27"/>
      <c r="D869" s="27"/>
      <c r="E869" s="27"/>
      <c r="F869" s="27"/>
      <c r="G869" s="27"/>
      <c r="H869" s="27"/>
    </row>
    <row r="870">
      <c r="A870" s="3"/>
      <c r="B870" s="27"/>
      <c r="C870" s="27"/>
      <c r="D870" s="27"/>
      <c r="E870" s="27"/>
      <c r="F870" s="27"/>
      <c r="G870" s="27"/>
      <c r="H870" s="27"/>
    </row>
    <row r="871">
      <c r="A871" s="3"/>
      <c r="B871" s="27"/>
      <c r="C871" s="27"/>
      <c r="D871" s="27"/>
      <c r="E871" s="27"/>
      <c r="F871" s="27"/>
      <c r="G871" s="27"/>
      <c r="H871" s="27"/>
    </row>
    <row r="872">
      <c r="A872" s="3"/>
      <c r="B872" s="27"/>
      <c r="C872" s="27"/>
      <c r="D872" s="27"/>
      <c r="E872" s="27"/>
      <c r="F872" s="27"/>
      <c r="G872" s="27"/>
      <c r="H872" s="27"/>
    </row>
    <row r="873">
      <c r="A873" s="3"/>
      <c r="B873" s="27"/>
      <c r="C873" s="27"/>
      <c r="D873" s="27"/>
      <c r="E873" s="27"/>
      <c r="F873" s="27"/>
      <c r="G873" s="27"/>
      <c r="H873" s="27"/>
    </row>
    <row r="874">
      <c r="A874" s="3"/>
      <c r="B874" s="27"/>
      <c r="C874" s="27"/>
      <c r="D874" s="27"/>
      <c r="E874" s="27"/>
      <c r="F874" s="27"/>
      <c r="G874" s="27"/>
      <c r="H874" s="27"/>
    </row>
    <row r="875">
      <c r="A875" s="3"/>
      <c r="B875" s="27"/>
      <c r="C875" s="27"/>
      <c r="D875" s="27"/>
      <c r="E875" s="27"/>
      <c r="F875" s="27"/>
      <c r="G875" s="27"/>
      <c r="H875" s="27"/>
    </row>
    <row r="876">
      <c r="A876" s="3"/>
      <c r="B876" s="27"/>
      <c r="C876" s="27"/>
      <c r="D876" s="27"/>
      <c r="E876" s="27"/>
      <c r="F876" s="27"/>
      <c r="G876" s="27"/>
      <c r="H876" s="27"/>
    </row>
    <row r="877">
      <c r="A877" s="3"/>
      <c r="B877" s="27"/>
      <c r="C877" s="27"/>
      <c r="D877" s="27"/>
      <c r="E877" s="27"/>
      <c r="F877" s="27"/>
      <c r="G877" s="27"/>
      <c r="H877" s="27"/>
    </row>
    <row r="878">
      <c r="A878" s="3"/>
      <c r="B878" s="27"/>
      <c r="C878" s="27"/>
      <c r="D878" s="27"/>
      <c r="E878" s="27"/>
      <c r="F878" s="27"/>
      <c r="G878" s="27"/>
      <c r="H878" s="27"/>
    </row>
    <row r="879">
      <c r="A879" s="3"/>
      <c r="B879" s="27"/>
      <c r="C879" s="27"/>
      <c r="D879" s="27"/>
      <c r="E879" s="27"/>
      <c r="F879" s="27"/>
      <c r="G879" s="27"/>
      <c r="H879" s="27"/>
    </row>
    <row r="880">
      <c r="A880" s="3"/>
      <c r="B880" s="27"/>
      <c r="C880" s="27"/>
      <c r="D880" s="27"/>
      <c r="E880" s="27"/>
      <c r="F880" s="27"/>
      <c r="G880" s="27"/>
      <c r="H880" s="27"/>
    </row>
    <row r="881">
      <c r="A881" s="3"/>
      <c r="B881" s="27"/>
      <c r="C881" s="27"/>
      <c r="D881" s="27"/>
      <c r="E881" s="27"/>
      <c r="F881" s="27"/>
      <c r="G881" s="27"/>
      <c r="H881" s="27"/>
    </row>
    <row r="882">
      <c r="A882" s="3"/>
      <c r="B882" s="27"/>
      <c r="C882" s="27"/>
      <c r="D882" s="27"/>
      <c r="E882" s="27"/>
      <c r="F882" s="27"/>
      <c r="G882" s="27"/>
      <c r="H882" s="27"/>
    </row>
    <row r="883">
      <c r="A883" s="3"/>
      <c r="B883" s="27"/>
      <c r="C883" s="27"/>
      <c r="D883" s="27"/>
      <c r="E883" s="27"/>
      <c r="F883" s="27"/>
      <c r="G883" s="27"/>
      <c r="H883" s="27"/>
    </row>
    <row r="884">
      <c r="A884" s="3"/>
      <c r="B884" s="27"/>
      <c r="C884" s="27"/>
      <c r="D884" s="27"/>
      <c r="E884" s="27"/>
      <c r="F884" s="27"/>
      <c r="G884" s="27"/>
      <c r="H884" s="27"/>
    </row>
    <row r="885">
      <c r="A885" s="3"/>
      <c r="B885" s="27"/>
      <c r="C885" s="27"/>
      <c r="D885" s="27"/>
      <c r="E885" s="27"/>
      <c r="F885" s="27"/>
      <c r="G885" s="27"/>
      <c r="H885" s="27"/>
    </row>
    <row r="886">
      <c r="A886" s="3"/>
      <c r="B886" s="27"/>
      <c r="C886" s="27"/>
      <c r="D886" s="27"/>
      <c r="E886" s="27"/>
      <c r="F886" s="27"/>
      <c r="G886" s="27"/>
      <c r="H886" s="27"/>
    </row>
    <row r="887">
      <c r="A887" s="3"/>
      <c r="B887" s="27"/>
      <c r="C887" s="27"/>
      <c r="D887" s="27"/>
      <c r="E887" s="27"/>
      <c r="F887" s="27"/>
      <c r="G887" s="27"/>
      <c r="H887" s="27"/>
    </row>
    <row r="888">
      <c r="A888" s="3"/>
      <c r="B888" s="27"/>
      <c r="C888" s="27"/>
      <c r="D888" s="27"/>
      <c r="E888" s="27"/>
      <c r="F888" s="27"/>
      <c r="G888" s="27"/>
      <c r="H888" s="27"/>
    </row>
    <row r="889">
      <c r="A889" s="3"/>
      <c r="B889" s="27"/>
      <c r="C889" s="27"/>
      <c r="D889" s="27"/>
      <c r="E889" s="27"/>
      <c r="F889" s="27"/>
      <c r="G889" s="27"/>
      <c r="H889" s="27"/>
    </row>
    <row r="890">
      <c r="A890" s="3"/>
      <c r="B890" s="27"/>
      <c r="C890" s="27"/>
      <c r="D890" s="27"/>
      <c r="E890" s="27"/>
      <c r="F890" s="27"/>
      <c r="G890" s="27"/>
      <c r="H890" s="27"/>
    </row>
    <row r="891">
      <c r="A891" s="3"/>
      <c r="B891" s="27"/>
      <c r="C891" s="27"/>
      <c r="D891" s="27"/>
      <c r="E891" s="27"/>
      <c r="F891" s="27"/>
      <c r="G891" s="27"/>
      <c r="H891" s="27"/>
    </row>
    <row r="892">
      <c r="A892" s="3"/>
      <c r="B892" s="27"/>
      <c r="C892" s="27"/>
      <c r="D892" s="27"/>
      <c r="E892" s="27"/>
      <c r="F892" s="27"/>
      <c r="G892" s="27"/>
      <c r="H892" s="27"/>
    </row>
    <row r="893">
      <c r="A893" s="3"/>
      <c r="B893" s="27"/>
      <c r="C893" s="27"/>
      <c r="D893" s="27"/>
      <c r="E893" s="27"/>
      <c r="F893" s="27"/>
      <c r="G893" s="27"/>
      <c r="H893" s="27"/>
    </row>
    <row r="894">
      <c r="A894" s="3"/>
      <c r="B894" s="27"/>
      <c r="C894" s="27"/>
      <c r="D894" s="27"/>
      <c r="E894" s="27"/>
      <c r="F894" s="27"/>
      <c r="G894" s="27"/>
      <c r="H894" s="27"/>
    </row>
    <row r="895">
      <c r="A895" s="3"/>
      <c r="B895" s="27"/>
      <c r="C895" s="27"/>
      <c r="D895" s="27"/>
      <c r="E895" s="27"/>
      <c r="F895" s="27"/>
      <c r="G895" s="27"/>
      <c r="H895" s="27"/>
    </row>
    <row r="896">
      <c r="A896" s="3"/>
      <c r="B896" s="27"/>
      <c r="C896" s="27"/>
      <c r="D896" s="27"/>
      <c r="E896" s="27"/>
      <c r="F896" s="27"/>
      <c r="G896" s="27"/>
      <c r="H896" s="27"/>
    </row>
    <row r="897">
      <c r="A897" s="3"/>
      <c r="B897" s="27"/>
      <c r="C897" s="27"/>
      <c r="D897" s="27"/>
      <c r="E897" s="27"/>
      <c r="F897" s="27"/>
      <c r="G897" s="27"/>
      <c r="H897" s="27"/>
    </row>
    <row r="898">
      <c r="A898" s="3"/>
      <c r="B898" s="27"/>
      <c r="C898" s="27"/>
      <c r="D898" s="27"/>
      <c r="E898" s="27"/>
      <c r="F898" s="27"/>
      <c r="G898" s="27"/>
      <c r="H898" s="27"/>
    </row>
    <row r="899">
      <c r="A899" s="3"/>
      <c r="B899" s="27"/>
      <c r="C899" s="27"/>
      <c r="D899" s="27"/>
      <c r="E899" s="27"/>
      <c r="F899" s="27"/>
      <c r="G899" s="27"/>
      <c r="H899" s="27"/>
    </row>
    <row r="900">
      <c r="A900" s="3"/>
      <c r="B900" s="27"/>
      <c r="C900" s="27"/>
      <c r="D900" s="27"/>
      <c r="E900" s="27"/>
      <c r="F900" s="27"/>
      <c r="G900" s="27"/>
      <c r="H900" s="27"/>
    </row>
    <row r="901">
      <c r="A901" s="3"/>
      <c r="B901" s="27"/>
      <c r="C901" s="27"/>
      <c r="D901" s="27"/>
      <c r="E901" s="27"/>
      <c r="F901" s="27"/>
      <c r="G901" s="27"/>
      <c r="H901" s="27"/>
    </row>
    <row r="902">
      <c r="A902" s="3"/>
      <c r="B902" s="27"/>
      <c r="C902" s="27"/>
      <c r="D902" s="27"/>
      <c r="E902" s="27"/>
      <c r="F902" s="27"/>
      <c r="G902" s="27"/>
      <c r="H902" s="27"/>
    </row>
    <row r="903">
      <c r="A903" s="3"/>
      <c r="B903" s="27"/>
      <c r="C903" s="27"/>
      <c r="D903" s="27"/>
      <c r="E903" s="27"/>
      <c r="F903" s="27"/>
      <c r="G903" s="27"/>
      <c r="H903" s="27"/>
    </row>
    <row r="904">
      <c r="A904" s="3"/>
      <c r="B904" s="27"/>
      <c r="C904" s="27"/>
      <c r="D904" s="27"/>
      <c r="E904" s="27"/>
      <c r="F904" s="27"/>
      <c r="G904" s="27"/>
      <c r="H904" s="27"/>
    </row>
    <row r="905">
      <c r="A905" s="3"/>
      <c r="B905" s="27"/>
      <c r="C905" s="27"/>
      <c r="D905" s="27"/>
      <c r="E905" s="27"/>
      <c r="F905" s="27"/>
      <c r="G905" s="27"/>
      <c r="H905" s="27"/>
    </row>
    <row r="906">
      <c r="A906" s="3"/>
      <c r="B906" s="27"/>
      <c r="C906" s="27"/>
      <c r="D906" s="27"/>
      <c r="E906" s="27"/>
      <c r="F906" s="27"/>
      <c r="G906" s="27"/>
      <c r="H906" s="27"/>
    </row>
    <row r="907">
      <c r="A907" s="3"/>
      <c r="B907" s="27"/>
      <c r="C907" s="27"/>
      <c r="D907" s="27"/>
      <c r="E907" s="27"/>
      <c r="F907" s="27"/>
      <c r="G907" s="27"/>
      <c r="H907" s="27"/>
    </row>
    <row r="908">
      <c r="A908" s="3"/>
      <c r="B908" s="27"/>
      <c r="C908" s="27"/>
      <c r="D908" s="27"/>
      <c r="E908" s="27"/>
      <c r="F908" s="27"/>
      <c r="G908" s="27"/>
      <c r="H908" s="27"/>
    </row>
    <row r="909">
      <c r="A909" s="3"/>
      <c r="B909" s="27"/>
      <c r="C909" s="27"/>
      <c r="D909" s="27"/>
      <c r="E909" s="27"/>
      <c r="F909" s="27"/>
      <c r="G909" s="27"/>
      <c r="H909" s="27"/>
    </row>
    <row r="910">
      <c r="A910" s="3"/>
      <c r="B910" s="27"/>
      <c r="C910" s="27"/>
      <c r="D910" s="27"/>
      <c r="E910" s="27"/>
      <c r="F910" s="27"/>
      <c r="G910" s="27"/>
      <c r="H910" s="27"/>
    </row>
    <row r="911">
      <c r="A911" s="3"/>
      <c r="B911" s="27"/>
      <c r="C911" s="27"/>
      <c r="D911" s="27"/>
      <c r="E911" s="27"/>
      <c r="F911" s="27"/>
      <c r="G911" s="27"/>
      <c r="H911" s="27"/>
    </row>
    <row r="912">
      <c r="A912" s="3"/>
      <c r="B912" s="27"/>
      <c r="C912" s="27"/>
      <c r="D912" s="27"/>
      <c r="E912" s="27"/>
      <c r="F912" s="27"/>
      <c r="G912" s="27"/>
      <c r="H912" s="27"/>
    </row>
    <row r="913">
      <c r="A913" s="3"/>
      <c r="B913" s="27"/>
      <c r="C913" s="27"/>
      <c r="D913" s="27"/>
      <c r="E913" s="27"/>
      <c r="F913" s="27"/>
      <c r="G913" s="27"/>
      <c r="H913" s="27"/>
    </row>
    <row r="914">
      <c r="A914" s="3"/>
      <c r="B914" s="27"/>
      <c r="C914" s="27"/>
      <c r="D914" s="27"/>
      <c r="E914" s="27"/>
      <c r="F914" s="27"/>
      <c r="G914" s="27"/>
      <c r="H914" s="27"/>
    </row>
    <row r="915">
      <c r="A915" s="3"/>
      <c r="B915" s="27"/>
      <c r="C915" s="27"/>
      <c r="D915" s="27"/>
      <c r="E915" s="27"/>
      <c r="F915" s="27"/>
      <c r="G915" s="27"/>
      <c r="H915" s="27"/>
    </row>
    <row r="916">
      <c r="A916" s="3"/>
      <c r="B916" s="27"/>
      <c r="C916" s="27"/>
      <c r="D916" s="27"/>
      <c r="E916" s="27"/>
      <c r="F916" s="27"/>
      <c r="G916" s="27"/>
      <c r="H916" s="27"/>
    </row>
    <row r="917">
      <c r="A917" s="3"/>
      <c r="B917" s="27"/>
      <c r="C917" s="27"/>
      <c r="D917" s="27"/>
      <c r="E917" s="27"/>
      <c r="F917" s="27"/>
      <c r="G917" s="27"/>
      <c r="H917" s="27"/>
    </row>
    <row r="918">
      <c r="A918" s="3"/>
      <c r="B918" s="27"/>
      <c r="C918" s="27"/>
      <c r="D918" s="27"/>
      <c r="E918" s="27"/>
      <c r="F918" s="27"/>
      <c r="G918" s="27"/>
      <c r="H918" s="27"/>
    </row>
    <row r="919">
      <c r="A919" s="3"/>
      <c r="B919" s="27"/>
      <c r="C919" s="27"/>
      <c r="D919" s="27"/>
      <c r="E919" s="27"/>
      <c r="F919" s="27"/>
      <c r="G919" s="27"/>
      <c r="H919" s="27"/>
    </row>
    <row r="920">
      <c r="A920" s="3"/>
      <c r="B920" s="27"/>
      <c r="C920" s="27"/>
      <c r="D920" s="27"/>
      <c r="E920" s="27"/>
      <c r="F920" s="27"/>
      <c r="G920" s="27"/>
      <c r="H920" s="27"/>
    </row>
    <row r="921">
      <c r="A921" s="3"/>
      <c r="B921" s="27"/>
      <c r="C921" s="27"/>
      <c r="D921" s="27"/>
      <c r="E921" s="27"/>
      <c r="F921" s="27"/>
      <c r="G921" s="27"/>
      <c r="H921" s="27"/>
    </row>
    <row r="922">
      <c r="A922" s="3"/>
      <c r="B922" s="27"/>
      <c r="C922" s="27"/>
      <c r="D922" s="27"/>
      <c r="E922" s="27"/>
      <c r="F922" s="27"/>
      <c r="G922" s="27"/>
      <c r="H922" s="27"/>
    </row>
    <row r="923">
      <c r="A923" s="3"/>
      <c r="B923" s="27"/>
      <c r="C923" s="27"/>
      <c r="D923" s="27"/>
      <c r="E923" s="27"/>
      <c r="F923" s="27"/>
      <c r="G923" s="27"/>
      <c r="H923" s="27"/>
    </row>
    <row r="924">
      <c r="A924" s="3"/>
      <c r="B924" s="27"/>
      <c r="C924" s="27"/>
      <c r="D924" s="27"/>
      <c r="E924" s="27"/>
      <c r="F924" s="27"/>
      <c r="G924" s="27"/>
      <c r="H924" s="27"/>
    </row>
    <row r="925">
      <c r="A925" s="3"/>
      <c r="B925" s="27"/>
      <c r="C925" s="27"/>
      <c r="D925" s="27"/>
      <c r="E925" s="27"/>
      <c r="F925" s="27"/>
      <c r="G925" s="27"/>
      <c r="H925" s="27"/>
    </row>
    <row r="926">
      <c r="A926" s="3"/>
      <c r="B926" s="27"/>
      <c r="C926" s="27"/>
      <c r="D926" s="27"/>
      <c r="E926" s="27"/>
      <c r="F926" s="27"/>
      <c r="G926" s="27"/>
      <c r="H926" s="27"/>
    </row>
    <row r="927">
      <c r="A927" s="3"/>
      <c r="B927" s="27"/>
      <c r="C927" s="27"/>
      <c r="D927" s="27"/>
      <c r="E927" s="27"/>
      <c r="F927" s="27"/>
      <c r="G927" s="27"/>
      <c r="H927" s="27"/>
    </row>
    <row r="928">
      <c r="A928" s="3"/>
      <c r="B928" s="27"/>
      <c r="C928" s="27"/>
      <c r="D928" s="27"/>
      <c r="E928" s="27"/>
      <c r="F928" s="27"/>
      <c r="G928" s="27"/>
      <c r="H928" s="27"/>
    </row>
    <row r="929">
      <c r="A929" s="3"/>
      <c r="B929" s="27"/>
      <c r="C929" s="27"/>
      <c r="D929" s="27"/>
      <c r="E929" s="27"/>
      <c r="F929" s="27"/>
      <c r="G929" s="27"/>
      <c r="H929" s="27"/>
    </row>
    <row r="930">
      <c r="A930" s="3"/>
      <c r="B930" s="27"/>
      <c r="C930" s="27"/>
      <c r="D930" s="27"/>
      <c r="E930" s="27"/>
      <c r="F930" s="27"/>
      <c r="G930" s="27"/>
      <c r="H930" s="27"/>
    </row>
    <row r="931">
      <c r="A931" s="3"/>
      <c r="B931" s="27"/>
      <c r="C931" s="27"/>
      <c r="D931" s="27"/>
      <c r="E931" s="27"/>
      <c r="F931" s="27"/>
      <c r="G931" s="27"/>
      <c r="H931" s="27"/>
    </row>
    <row r="932">
      <c r="A932" s="3"/>
      <c r="B932" s="27"/>
      <c r="C932" s="27"/>
      <c r="D932" s="27"/>
      <c r="E932" s="27"/>
      <c r="F932" s="27"/>
      <c r="G932" s="27"/>
      <c r="H932" s="27"/>
    </row>
    <row r="933">
      <c r="A933" s="3"/>
      <c r="B933" s="27"/>
      <c r="C933" s="27"/>
      <c r="D933" s="27"/>
      <c r="E933" s="27"/>
      <c r="F933" s="27"/>
      <c r="G933" s="27"/>
      <c r="H933" s="27"/>
    </row>
    <row r="934">
      <c r="A934" s="3"/>
      <c r="B934" s="27"/>
      <c r="C934" s="27"/>
      <c r="D934" s="27"/>
      <c r="E934" s="27"/>
      <c r="F934" s="27"/>
      <c r="G934" s="27"/>
      <c r="H934" s="27"/>
    </row>
    <row r="935">
      <c r="A935" s="3"/>
      <c r="B935" s="27"/>
      <c r="C935" s="27"/>
      <c r="D935" s="27"/>
      <c r="E935" s="27"/>
      <c r="F935" s="27"/>
      <c r="G935" s="27"/>
      <c r="H935" s="27"/>
    </row>
    <row r="936">
      <c r="A936" s="3"/>
      <c r="B936" s="27"/>
      <c r="C936" s="27"/>
      <c r="D936" s="27"/>
      <c r="E936" s="27"/>
      <c r="F936" s="27"/>
      <c r="G936" s="27"/>
      <c r="H936" s="27"/>
    </row>
    <row r="937">
      <c r="A937" s="3"/>
      <c r="B937" s="27"/>
      <c r="C937" s="27"/>
      <c r="D937" s="27"/>
      <c r="E937" s="27"/>
      <c r="F937" s="27"/>
      <c r="G937" s="27"/>
      <c r="H937" s="27"/>
    </row>
    <row r="938">
      <c r="A938" s="3"/>
      <c r="B938" s="27"/>
      <c r="C938" s="27"/>
      <c r="D938" s="27"/>
      <c r="E938" s="27"/>
      <c r="F938" s="27"/>
      <c r="G938" s="27"/>
      <c r="H938" s="27"/>
    </row>
    <row r="939">
      <c r="A939" s="3"/>
      <c r="B939" s="27"/>
      <c r="C939" s="27"/>
      <c r="D939" s="27"/>
      <c r="E939" s="27"/>
      <c r="F939" s="27"/>
      <c r="G939" s="27"/>
      <c r="H939" s="27"/>
    </row>
    <row r="940">
      <c r="A940" s="3"/>
      <c r="B940" s="27"/>
      <c r="C940" s="27"/>
      <c r="D940" s="27"/>
      <c r="E940" s="27"/>
      <c r="F940" s="27"/>
      <c r="G940" s="27"/>
      <c r="H940" s="27"/>
    </row>
    <row r="941">
      <c r="A941" s="3"/>
      <c r="B941" s="27"/>
      <c r="C941" s="27"/>
      <c r="D941" s="27"/>
      <c r="E941" s="27"/>
      <c r="F941" s="27"/>
      <c r="G941" s="27"/>
      <c r="H941" s="27"/>
    </row>
    <row r="942">
      <c r="A942" s="3"/>
      <c r="B942" s="27"/>
      <c r="C942" s="27"/>
      <c r="D942" s="27"/>
      <c r="E942" s="27"/>
      <c r="F942" s="27"/>
      <c r="G942" s="27"/>
      <c r="H942" s="27"/>
    </row>
    <row r="943">
      <c r="A943" s="3"/>
      <c r="B943" s="27"/>
      <c r="C943" s="27"/>
      <c r="D943" s="27"/>
      <c r="E943" s="27"/>
      <c r="F943" s="27"/>
      <c r="G943" s="27"/>
      <c r="H943" s="27"/>
    </row>
    <row r="944">
      <c r="A944" s="3"/>
      <c r="B944" s="27"/>
      <c r="C944" s="27"/>
      <c r="D944" s="27"/>
      <c r="E944" s="27"/>
      <c r="F944" s="27"/>
      <c r="G944" s="27"/>
      <c r="H944" s="27"/>
    </row>
    <row r="945">
      <c r="A945" s="3"/>
      <c r="B945" s="27"/>
      <c r="C945" s="27"/>
      <c r="D945" s="27"/>
      <c r="E945" s="27"/>
      <c r="F945" s="27"/>
      <c r="G945" s="27"/>
      <c r="H945" s="27"/>
    </row>
    <row r="946">
      <c r="A946" s="3"/>
      <c r="B946" s="27"/>
      <c r="C946" s="27"/>
      <c r="D946" s="27"/>
      <c r="E946" s="27"/>
      <c r="F946" s="27"/>
      <c r="G946" s="27"/>
      <c r="H946" s="27"/>
    </row>
    <row r="947">
      <c r="A947" s="3"/>
      <c r="B947" s="27"/>
      <c r="C947" s="27"/>
      <c r="D947" s="27"/>
      <c r="E947" s="27"/>
      <c r="F947" s="27"/>
      <c r="G947" s="27"/>
      <c r="H947" s="27"/>
    </row>
    <row r="948">
      <c r="A948" s="3"/>
      <c r="B948" s="27"/>
      <c r="C948" s="27"/>
      <c r="D948" s="27"/>
      <c r="E948" s="27"/>
      <c r="F948" s="27"/>
      <c r="G948" s="27"/>
      <c r="H948" s="27"/>
    </row>
    <row r="949">
      <c r="A949" s="3"/>
      <c r="B949" s="27"/>
      <c r="C949" s="27"/>
      <c r="D949" s="27"/>
      <c r="E949" s="27"/>
      <c r="F949" s="27"/>
      <c r="G949" s="27"/>
      <c r="H949" s="27"/>
    </row>
    <row r="950">
      <c r="A950" s="3"/>
      <c r="B950" s="27"/>
      <c r="C950" s="27"/>
      <c r="D950" s="27"/>
      <c r="E950" s="27"/>
      <c r="F950" s="27"/>
      <c r="G950" s="27"/>
      <c r="H950" s="27"/>
    </row>
    <row r="951">
      <c r="A951" s="3"/>
      <c r="B951" s="27"/>
      <c r="C951" s="27"/>
      <c r="D951" s="27"/>
      <c r="E951" s="27"/>
      <c r="F951" s="27"/>
      <c r="G951" s="27"/>
      <c r="H951" s="27"/>
    </row>
    <row r="952">
      <c r="A952" s="3"/>
      <c r="B952" s="27"/>
      <c r="C952" s="27"/>
      <c r="D952" s="27"/>
      <c r="E952" s="27"/>
      <c r="F952" s="27"/>
      <c r="G952" s="27"/>
      <c r="H952" s="27"/>
    </row>
    <row r="953">
      <c r="A953" s="3"/>
      <c r="B953" s="27"/>
      <c r="C953" s="27"/>
      <c r="D953" s="27"/>
      <c r="E953" s="27"/>
      <c r="F953" s="27"/>
      <c r="G953" s="27"/>
      <c r="H953" s="27"/>
    </row>
    <row r="954">
      <c r="A954" s="3"/>
      <c r="B954" s="27"/>
      <c r="C954" s="27"/>
      <c r="D954" s="27"/>
      <c r="E954" s="27"/>
      <c r="F954" s="27"/>
      <c r="G954" s="27"/>
      <c r="H954" s="27"/>
    </row>
    <row r="955">
      <c r="A955" s="3"/>
      <c r="B955" s="27"/>
      <c r="C955" s="27"/>
      <c r="D955" s="27"/>
      <c r="E955" s="27"/>
      <c r="F955" s="27"/>
      <c r="G955" s="27"/>
      <c r="H955" s="27"/>
    </row>
    <row r="956">
      <c r="A956" s="3"/>
      <c r="B956" s="27"/>
      <c r="C956" s="27"/>
      <c r="D956" s="27"/>
      <c r="E956" s="27"/>
      <c r="F956" s="27"/>
      <c r="G956" s="27"/>
      <c r="H956" s="27"/>
    </row>
    <row r="957">
      <c r="A957" s="3"/>
      <c r="B957" s="27"/>
      <c r="C957" s="27"/>
      <c r="D957" s="27"/>
      <c r="E957" s="27"/>
      <c r="F957" s="27"/>
      <c r="G957" s="27"/>
      <c r="H957" s="27"/>
    </row>
    <row r="958">
      <c r="A958" s="3"/>
      <c r="B958" s="27"/>
      <c r="C958" s="27"/>
      <c r="D958" s="27"/>
      <c r="E958" s="27"/>
      <c r="F958" s="27"/>
      <c r="G958" s="27"/>
      <c r="H958" s="27"/>
    </row>
    <row r="959">
      <c r="A959" s="3"/>
      <c r="B959" s="27"/>
      <c r="C959" s="27"/>
      <c r="D959" s="27"/>
      <c r="E959" s="27"/>
      <c r="F959" s="27"/>
      <c r="G959" s="27"/>
      <c r="H959" s="27"/>
    </row>
    <row r="960">
      <c r="A960" s="3"/>
      <c r="B960" s="27"/>
      <c r="C960" s="27"/>
      <c r="D960" s="27"/>
      <c r="E960" s="27"/>
      <c r="F960" s="27"/>
      <c r="G960" s="27"/>
      <c r="H960" s="27"/>
    </row>
    <row r="961">
      <c r="A961" s="3"/>
      <c r="B961" s="27"/>
      <c r="C961" s="27"/>
      <c r="D961" s="27"/>
      <c r="E961" s="27"/>
      <c r="F961" s="27"/>
      <c r="G961" s="27"/>
      <c r="H961" s="27"/>
    </row>
    <row r="962">
      <c r="A962" s="3"/>
      <c r="B962" s="27"/>
      <c r="C962" s="27"/>
      <c r="D962" s="27"/>
      <c r="E962" s="27"/>
      <c r="F962" s="27"/>
      <c r="G962" s="27"/>
      <c r="H962" s="27"/>
    </row>
    <row r="963">
      <c r="A963" s="3"/>
      <c r="B963" s="27"/>
      <c r="C963" s="27"/>
      <c r="D963" s="27"/>
      <c r="E963" s="27"/>
      <c r="F963" s="27"/>
      <c r="G963" s="27"/>
      <c r="H963" s="27"/>
    </row>
    <row r="964">
      <c r="A964" s="3"/>
      <c r="B964" s="27"/>
      <c r="C964" s="27"/>
      <c r="D964" s="27"/>
      <c r="E964" s="27"/>
      <c r="F964" s="27"/>
      <c r="G964" s="27"/>
      <c r="H964" s="27"/>
    </row>
    <row r="965">
      <c r="A965" s="3"/>
      <c r="B965" s="27"/>
      <c r="C965" s="27"/>
      <c r="D965" s="27"/>
      <c r="E965" s="27"/>
      <c r="F965" s="27"/>
      <c r="G965" s="27"/>
      <c r="H965" s="27"/>
    </row>
    <row r="966">
      <c r="A966" s="3"/>
      <c r="B966" s="27"/>
      <c r="C966" s="27"/>
      <c r="D966" s="27"/>
      <c r="E966" s="27"/>
      <c r="F966" s="27"/>
      <c r="G966" s="27"/>
      <c r="H966" s="27"/>
    </row>
    <row r="967">
      <c r="A967" s="3"/>
      <c r="B967" s="27"/>
      <c r="C967" s="27"/>
      <c r="D967" s="27"/>
      <c r="E967" s="27"/>
      <c r="F967" s="27"/>
      <c r="G967" s="27"/>
      <c r="H967" s="27"/>
    </row>
    <row r="968">
      <c r="A968" s="3"/>
      <c r="B968" s="27"/>
      <c r="C968" s="27"/>
      <c r="D968" s="27"/>
      <c r="E968" s="27"/>
      <c r="F968" s="27"/>
      <c r="G968" s="27"/>
      <c r="H968" s="27"/>
    </row>
    <row r="969">
      <c r="A969" s="3"/>
      <c r="B969" s="27"/>
      <c r="C969" s="27"/>
      <c r="D969" s="27"/>
      <c r="E969" s="27"/>
      <c r="F969" s="27"/>
      <c r="G969" s="27"/>
      <c r="H969" s="27"/>
    </row>
    <row r="970">
      <c r="A970" s="3"/>
      <c r="B970" s="27"/>
      <c r="C970" s="27"/>
      <c r="D970" s="27"/>
      <c r="E970" s="27"/>
      <c r="F970" s="27"/>
      <c r="G970" s="27"/>
      <c r="H970" s="27"/>
    </row>
    <row r="971">
      <c r="A971" s="3"/>
      <c r="B971" s="27"/>
      <c r="C971" s="27"/>
      <c r="D971" s="27"/>
      <c r="E971" s="27"/>
      <c r="F971" s="27"/>
      <c r="G971" s="27"/>
      <c r="H971" s="27"/>
    </row>
    <row r="972">
      <c r="A972" s="3"/>
      <c r="B972" s="27"/>
      <c r="C972" s="27"/>
      <c r="D972" s="27"/>
      <c r="E972" s="27"/>
      <c r="F972" s="27"/>
      <c r="G972" s="27"/>
      <c r="H972" s="27"/>
    </row>
    <row r="973">
      <c r="A973" s="3"/>
      <c r="B973" s="27"/>
      <c r="C973" s="27"/>
      <c r="D973" s="27"/>
      <c r="E973" s="27"/>
      <c r="F973" s="27"/>
      <c r="G973" s="27"/>
      <c r="H973" s="27"/>
    </row>
    <row r="974">
      <c r="A974" s="3"/>
      <c r="B974" s="27"/>
      <c r="C974" s="27"/>
      <c r="D974" s="27"/>
      <c r="E974" s="27"/>
      <c r="F974" s="27"/>
      <c r="G974" s="27"/>
      <c r="H974" s="27"/>
    </row>
    <row r="975">
      <c r="A975" s="3"/>
      <c r="B975" s="27"/>
      <c r="C975" s="27"/>
      <c r="D975" s="27"/>
      <c r="E975" s="27"/>
      <c r="F975" s="27"/>
      <c r="G975" s="27"/>
      <c r="H975" s="27"/>
    </row>
    <row r="976">
      <c r="A976" s="3"/>
      <c r="B976" s="27"/>
      <c r="C976" s="27"/>
      <c r="D976" s="27"/>
      <c r="E976" s="27"/>
      <c r="F976" s="27"/>
      <c r="G976" s="27"/>
      <c r="H976" s="27"/>
    </row>
    <row r="977">
      <c r="A977" s="3"/>
      <c r="B977" s="27"/>
      <c r="C977" s="27"/>
      <c r="D977" s="27"/>
      <c r="E977" s="27"/>
      <c r="F977" s="27"/>
      <c r="G977" s="27"/>
      <c r="H977" s="27"/>
    </row>
    <row r="978">
      <c r="A978" s="3"/>
      <c r="B978" s="27"/>
      <c r="C978" s="27"/>
      <c r="D978" s="27"/>
      <c r="E978" s="27"/>
      <c r="F978" s="27"/>
      <c r="G978" s="27"/>
      <c r="H978" s="27"/>
    </row>
    <row r="979">
      <c r="A979" s="3"/>
      <c r="B979" s="27"/>
      <c r="C979" s="27"/>
      <c r="D979" s="27"/>
      <c r="E979" s="27"/>
      <c r="F979" s="27"/>
      <c r="G979" s="27"/>
      <c r="H979" s="27"/>
    </row>
    <row r="980">
      <c r="A980" s="3"/>
      <c r="B980" s="27"/>
      <c r="C980" s="27"/>
      <c r="D980" s="27"/>
      <c r="E980" s="27"/>
      <c r="F980" s="27"/>
      <c r="G980" s="27"/>
      <c r="H980" s="27"/>
    </row>
    <row r="981">
      <c r="A981" s="3"/>
      <c r="B981" s="27"/>
      <c r="C981" s="27"/>
      <c r="D981" s="27"/>
      <c r="E981" s="27"/>
      <c r="F981" s="27"/>
      <c r="G981" s="27"/>
      <c r="H981" s="27"/>
    </row>
    <row r="982">
      <c r="A982" s="3"/>
      <c r="B982" s="27"/>
      <c r="C982" s="27"/>
      <c r="D982" s="27"/>
      <c r="E982" s="27"/>
      <c r="F982" s="27"/>
      <c r="G982" s="27"/>
      <c r="H982" s="27"/>
    </row>
    <row r="983">
      <c r="A983" s="3"/>
      <c r="B983" s="27"/>
      <c r="C983" s="27"/>
      <c r="D983" s="27"/>
      <c r="E983" s="27"/>
      <c r="F983" s="27"/>
      <c r="G983" s="27"/>
      <c r="H983" s="27"/>
    </row>
    <row r="984">
      <c r="A984" s="3"/>
      <c r="B984" s="27"/>
      <c r="C984" s="27"/>
      <c r="D984" s="27"/>
      <c r="E984" s="27"/>
      <c r="F984" s="27"/>
      <c r="G984" s="27"/>
      <c r="H984" s="27"/>
    </row>
    <row r="985">
      <c r="A985" s="3"/>
      <c r="B985" s="27"/>
      <c r="C985" s="27"/>
      <c r="D985" s="27"/>
      <c r="E985" s="27"/>
      <c r="F985" s="27"/>
      <c r="G985" s="27"/>
      <c r="H985" s="27"/>
    </row>
    <row r="986">
      <c r="A986" s="3"/>
      <c r="B986" s="27"/>
      <c r="C986" s="27"/>
      <c r="D986" s="27"/>
      <c r="E986" s="27"/>
      <c r="F986" s="27"/>
      <c r="G986" s="27"/>
      <c r="H986" s="27"/>
    </row>
    <row r="987">
      <c r="A987" s="3"/>
      <c r="B987" s="27"/>
      <c r="C987" s="27"/>
      <c r="D987" s="27"/>
      <c r="E987" s="27"/>
      <c r="F987" s="27"/>
      <c r="G987" s="27"/>
      <c r="H987" s="27"/>
    </row>
    <row r="988">
      <c r="A988" s="3"/>
      <c r="B988" s="27"/>
      <c r="C988" s="27"/>
      <c r="D988" s="27"/>
      <c r="E988" s="27"/>
      <c r="F988" s="27"/>
      <c r="G988" s="27"/>
      <c r="H988" s="27"/>
    </row>
    <row r="989">
      <c r="A989" s="3"/>
      <c r="B989" s="27"/>
      <c r="C989" s="27"/>
      <c r="D989" s="27"/>
      <c r="E989" s="27"/>
      <c r="F989" s="27"/>
      <c r="G989" s="27"/>
      <c r="H989" s="27"/>
    </row>
    <row r="990">
      <c r="A990" s="3"/>
      <c r="B990" s="27"/>
      <c r="C990" s="27"/>
      <c r="D990" s="27"/>
      <c r="E990" s="27"/>
      <c r="F990" s="27"/>
      <c r="G990" s="27"/>
      <c r="H990" s="27"/>
    </row>
    <row r="991">
      <c r="A991" s="3"/>
      <c r="B991" s="27"/>
      <c r="C991" s="27"/>
      <c r="D991" s="27"/>
      <c r="E991" s="27"/>
      <c r="F991" s="27"/>
      <c r="G991" s="27"/>
      <c r="H991" s="27"/>
    </row>
    <row r="992">
      <c r="A992" s="3"/>
      <c r="B992" s="27"/>
      <c r="C992" s="27"/>
      <c r="D992" s="27"/>
      <c r="E992" s="27"/>
      <c r="F992" s="27"/>
      <c r="G992" s="27"/>
      <c r="H992" s="27"/>
    </row>
    <row r="993">
      <c r="A993" s="3"/>
      <c r="B993" s="27"/>
      <c r="C993" s="27"/>
      <c r="D993" s="27"/>
      <c r="E993" s="27"/>
      <c r="F993" s="27"/>
      <c r="G993" s="27"/>
      <c r="H993" s="27"/>
    </row>
    <row r="994">
      <c r="A994" s="3"/>
      <c r="B994" s="27"/>
      <c r="C994" s="27"/>
      <c r="D994" s="27"/>
      <c r="E994" s="27"/>
      <c r="F994" s="27"/>
      <c r="G994" s="27"/>
      <c r="H994" s="27"/>
    </row>
    <row r="995">
      <c r="A995" s="3"/>
      <c r="B995" s="27"/>
      <c r="C995" s="27"/>
      <c r="D995" s="27"/>
      <c r="E995" s="27"/>
      <c r="F995" s="27"/>
      <c r="G995" s="27"/>
      <c r="H995" s="27"/>
    </row>
    <row r="996">
      <c r="A996" s="3"/>
      <c r="B996" s="27"/>
      <c r="C996" s="27"/>
      <c r="D996" s="27"/>
      <c r="E996" s="27"/>
      <c r="F996" s="27"/>
      <c r="G996" s="27"/>
      <c r="H996" s="27"/>
    </row>
    <row r="997">
      <c r="A997" s="3"/>
      <c r="B997" s="27"/>
      <c r="C997" s="27"/>
      <c r="D997" s="27"/>
      <c r="E997" s="27"/>
      <c r="F997" s="27"/>
      <c r="G997" s="27"/>
      <c r="H997" s="27"/>
    </row>
    <row r="998">
      <c r="A998" s="3"/>
      <c r="B998" s="27"/>
      <c r="C998" s="27"/>
      <c r="D998" s="27"/>
      <c r="E998" s="27"/>
      <c r="F998" s="27"/>
      <c r="G998" s="27"/>
      <c r="H998" s="27"/>
    </row>
    <row r="999">
      <c r="A999" s="3"/>
      <c r="B999" s="27"/>
      <c r="C999" s="27"/>
      <c r="D999" s="27"/>
      <c r="E999" s="27"/>
      <c r="F999" s="27"/>
      <c r="G999" s="27"/>
      <c r="H999" s="27"/>
    </row>
    <row r="1000">
      <c r="A1000" s="10"/>
      <c r="B1000" s="26"/>
      <c r="C1000" s="26"/>
      <c r="D1000" s="26"/>
      <c r="E1000" s="26"/>
      <c r="F1000" s="26"/>
      <c r="G1000" s="26"/>
      <c r="H1000" s="26"/>
    </row>
  </sheetData>
  <conditionalFormatting sqref="D2:D501">
    <cfRule type="expression" dxfId="4" priority="1">
      <formula>OR($E2="True", $E2=TRUE)</formula>
    </cfRule>
  </conditionalFormatting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25"/>
    <col customWidth="1" min="2" max="2" width="4.75"/>
    <col customWidth="1" min="3" max="3" width="11.63"/>
    <col customWidth="1" min="4" max="4" width="10.25"/>
    <col customWidth="1" min="5" max="5" width="6.0"/>
    <col customWidth="1" min="6" max="6" width="5.0"/>
    <col customWidth="1" min="7" max="7" width="17.38"/>
    <col customWidth="1" min="8" max="8" width="20.75"/>
    <col customWidth="1" min="9" max="9" width="100.75"/>
    <col customWidth="1" min="10" max="10" width="118.13"/>
  </cols>
  <sheetData>
    <row r="1" ht="18.0" customHeight="1">
      <c r="A1" s="1" t="s">
        <v>0</v>
      </c>
      <c r="B1" s="1" t="s">
        <v>1</v>
      </c>
      <c r="C1" s="1" t="s">
        <v>2</v>
      </c>
      <c r="D1" s="1" t="s">
        <v>3</v>
      </c>
      <c r="E1" s="28"/>
      <c r="F1" s="28"/>
      <c r="G1" s="1" t="s">
        <v>4</v>
      </c>
      <c r="H1" s="1" t="s">
        <v>5</v>
      </c>
      <c r="I1" s="2" t="s">
        <v>6</v>
      </c>
      <c r="J1" s="2" t="s">
        <v>7</v>
      </c>
    </row>
    <row r="2">
      <c r="A2" s="3">
        <v>10001.0</v>
      </c>
      <c r="B2" s="4" t="s">
        <v>8</v>
      </c>
      <c r="C2" s="4" t="s">
        <v>9</v>
      </c>
      <c r="D2" s="4" t="s">
        <v>10</v>
      </c>
      <c r="E2" s="4" t="b">
        <f t="shared" ref="E2:E501" si="1">COUNTIF($D$2:$D1000, D2)&gt;1</f>
        <v>1</v>
      </c>
      <c r="F2" s="3">
        <f>IFERROR(__xludf.DUMMYFUNCTION("IF(COUNTIF($D$2:$D1000, D2)&gt;1, MATCH(D2, UNIQUE(FILTER($D$2:$D1000, COUNTIF($D$2:$D1000, $D$2:$D1000)&gt;1)), 0), """")"),1.0)</f>
        <v>1</v>
      </c>
      <c r="G2" s="4" t="s">
        <v>11</v>
      </c>
      <c r="H2" s="5" t="s">
        <v>12</v>
      </c>
      <c r="I2" s="4" t="s">
        <v>13</v>
      </c>
      <c r="J2" s="4" t="s">
        <v>14</v>
      </c>
    </row>
    <row r="3">
      <c r="A3" s="3">
        <v>10002.0</v>
      </c>
      <c r="B3" s="4" t="s">
        <v>8</v>
      </c>
      <c r="C3" s="4" t="s">
        <v>9</v>
      </c>
      <c r="D3" s="4" t="s">
        <v>15</v>
      </c>
      <c r="E3" s="4" t="b">
        <f t="shared" si="1"/>
        <v>1</v>
      </c>
      <c r="F3" s="3">
        <f>IFERROR(__xludf.DUMMYFUNCTION("IF(COUNTIF($D$2:$D1000, D3)&gt;1, MATCH(D3, UNIQUE(FILTER($D$2:$D1000, COUNTIF($D$2:$D1000, $D$2:$D1000)&gt;1)), 0), """")"),2.0)</f>
        <v>2</v>
      </c>
      <c r="G3" s="4" t="s">
        <v>16</v>
      </c>
      <c r="H3" s="5" t="s">
        <v>17</v>
      </c>
      <c r="I3" s="4" t="s">
        <v>18</v>
      </c>
      <c r="J3" s="4" t="s">
        <v>19</v>
      </c>
    </row>
    <row r="4">
      <c r="A4" s="3">
        <v>10003.0</v>
      </c>
      <c r="B4" s="4" t="s">
        <v>8</v>
      </c>
      <c r="C4" s="4" t="s">
        <v>9</v>
      </c>
      <c r="D4" s="4" t="s">
        <v>20</v>
      </c>
      <c r="E4" s="4" t="b">
        <f t="shared" si="1"/>
        <v>1</v>
      </c>
      <c r="F4" s="3">
        <f>IFERROR(__xludf.DUMMYFUNCTION("IF(COUNTIF($D$2:$D1000, D4)&gt;1, MATCH(D4, UNIQUE(FILTER($D$2:$D1000, COUNTIF($D$2:$D1000, $D$2:$D1000)&gt;1)), 0), """")"),3.0)</f>
        <v>3</v>
      </c>
      <c r="G4" s="6" t="s">
        <v>21</v>
      </c>
      <c r="H4" s="4" t="s">
        <v>22</v>
      </c>
      <c r="I4" s="4" t="s">
        <v>23</v>
      </c>
      <c r="J4" s="4" t="s">
        <v>24</v>
      </c>
    </row>
    <row r="5">
      <c r="A5" s="3">
        <v>10004.0</v>
      </c>
      <c r="B5" s="4" t="s">
        <v>8</v>
      </c>
      <c r="C5" s="4" t="s">
        <v>9</v>
      </c>
      <c r="D5" s="4" t="s">
        <v>25</v>
      </c>
      <c r="E5" s="4" t="b">
        <f t="shared" si="1"/>
        <v>1</v>
      </c>
      <c r="F5" s="3">
        <f>IFERROR(__xludf.DUMMYFUNCTION("IF(COUNTIF($D$2:$D1000, D5)&gt;1, MATCH(D5, UNIQUE(FILTER($D$2:$D1000, COUNTIF($D$2:$D1000, $D$2:$D1000)&gt;1)), 0), """")"),4.0)</f>
        <v>4</v>
      </c>
      <c r="G5" s="7" t="s">
        <v>26</v>
      </c>
      <c r="H5" s="7" t="s">
        <v>27</v>
      </c>
      <c r="I5" s="7" t="s">
        <v>28</v>
      </c>
      <c r="J5" s="7" t="s">
        <v>29</v>
      </c>
    </row>
    <row r="6">
      <c r="A6" s="3">
        <v>10005.0</v>
      </c>
      <c r="B6" s="4" t="s">
        <v>8</v>
      </c>
      <c r="C6" s="4" t="s">
        <v>9</v>
      </c>
      <c r="D6" s="4" t="s">
        <v>30</v>
      </c>
      <c r="E6" s="4" t="b">
        <f t="shared" si="1"/>
        <v>1</v>
      </c>
      <c r="F6" s="3">
        <f>IFERROR(__xludf.DUMMYFUNCTION("IF(COUNTIF($D$2:$D1000, D6)&gt;1, MATCH(D6, UNIQUE(FILTER($D$2:$D1000, COUNTIF($D$2:$D1000, $D$2:$D1000)&gt;1)), 0), """")"),5.0)</f>
        <v>5</v>
      </c>
      <c r="G6" s="8" t="s">
        <v>31</v>
      </c>
      <c r="H6" s="8" t="s">
        <v>32</v>
      </c>
      <c r="I6" s="4" t="s">
        <v>33</v>
      </c>
      <c r="J6" s="4" t="s">
        <v>34</v>
      </c>
    </row>
    <row r="7">
      <c r="A7" s="3">
        <v>10006.0</v>
      </c>
      <c r="B7" s="4" t="s">
        <v>8</v>
      </c>
      <c r="C7" s="4" t="s">
        <v>9</v>
      </c>
      <c r="D7" s="4" t="s">
        <v>35</v>
      </c>
      <c r="E7" s="4" t="b">
        <f t="shared" si="1"/>
        <v>1</v>
      </c>
      <c r="F7" s="3">
        <f>IFERROR(__xludf.DUMMYFUNCTION("IF(COUNTIF($D$2:$D1000, D7)&gt;1, MATCH(D7, UNIQUE(FILTER($D$2:$D1000, COUNTIF($D$2:$D1000, $D$2:$D1000)&gt;1)), 0), """")"),6.0)</f>
        <v>6</v>
      </c>
      <c r="G7" s="4" t="s">
        <v>36</v>
      </c>
      <c r="H7" s="4" t="s">
        <v>37</v>
      </c>
      <c r="I7" s="4" t="s">
        <v>38</v>
      </c>
      <c r="J7" s="4" t="s">
        <v>39</v>
      </c>
    </row>
    <row r="8">
      <c r="A8" s="3">
        <v>10007.0</v>
      </c>
      <c r="B8" s="4" t="s">
        <v>8</v>
      </c>
      <c r="C8" s="4" t="s">
        <v>9</v>
      </c>
      <c r="D8" s="4" t="s">
        <v>40</v>
      </c>
      <c r="E8" s="4" t="b">
        <f t="shared" si="1"/>
        <v>1</v>
      </c>
      <c r="F8" s="3">
        <f>IFERROR(__xludf.DUMMYFUNCTION("IF(COUNTIF($D$2:$D1000, D8)&gt;1, MATCH(D8, UNIQUE(FILTER($D$2:$D1000, COUNTIF($D$2:$D1000, $D$2:$D1000)&gt;1)), 0), """")"),7.0)</f>
        <v>7</v>
      </c>
      <c r="G8" s="7" t="s">
        <v>41</v>
      </c>
      <c r="H8" s="4" t="s">
        <v>42</v>
      </c>
      <c r="I8" s="4" t="s">
        <v>43</v>
      </c>
      <c r="J8" s="4" t="s">
        <v>44</v>
      </c>
    </row>
    <row r="9">
      <c r="A9" s="3">
        <v>10008.0</v>
      </c>
      <c r="B9" s="4" t="s">
        <v>8</v>
      </c>
      <c r="C9" s="4" t="s">
        <v>9</v>
      </c>
      <c r="D9" s="4" t="s">
        <v>45</v>
      </c>
      <c r="E9" s="4" t="b">
        <f t="shared" si="1"/>
        <v>1</v>
      </c>
      <c r="F9" s="3">
        <f>IFERROR(__xludf.DUMMYFUNCTION("IF(COUNTIF($D$2:$D1000, D9)&gt;1, MATCH(D9, UNIQUE(FILTER($D$2:$D1000, COUNTIF($D$2:$D1000, $D$2:$D1000)&gt;1)), 0), """")"),8.0)</f>
        <v>8</v>
      </c>
      <c r="G9" s="7" t="s">
        <v>46</v>
      </c>
      <c r="H9" s="4" t="s">
        <v>47</v>
      </c>
      <c r="I9" s="4" t="s">
        <v>48</v>
      </c>
      <c r="J9" s="4" t="s">
        <v>49</v>
      </c>
    </row>
    <row r="10">
      <c r="A10" s="3">
        <v>10009.0</v>
      </c>
      <c r="B10" s="4" t="s">
        <v>50</v>
      </c>
      <c r="C10" s="4" t="s">
        <v>51</v>
      </c>
      <c r="D10" s="4" t="s">
        <v>52</v>
      </c>
      <c r="E10" s="4" t="b">
        <f t="shared" si="1"/>
        <v>1</v>
      </c>
      <c r="F10" s="3">
        <f>IFERROR(__xludf.DUMMYFUNCTION("IF(COUNTIF($D$2:$D1000, D10)&gt;1, MATCH(D10, UNIQUE(FILTER($D$2:$D1000, COUNTIF($D$2:$D1000, $D$2:$D1000)&gt;1)), 0), """")"),9.0)</f>
        <v>9</v>
      </c>
      <c r="G10" s="4" t="s">
        <v>53</v>
      </c>
      <c r="H10" s="4" t="s">
        <v>54</v>
      </c>
      <c r="I10" s="4" t="s">
        <v>55</v>
      </c>
      <c r="J10" s="4" t="s">
        <v>56</v>
      </c>
    </row>
    <row r="11">
      <c r="A11" s="3">
        <v>10010.0</v>
      </c>
      <c r="B11" s="4" t="s">
        <v>50</v>
      </c>
      <c r="C11" s="4" t="s">
        <v>51</v>
      </c>
      <c r="D11" s="4" t="s">
        <v>57</v>
      </c>
      <c r="E11" s="4" t="b">
        <f t="shared" si="1"/>
        <v>0</v>
      </c>
      <c r="F11" s="3" t="str">
        <f>IFERROR(__xludf.DUMMYFUNCTION("IF(COUNTIF($D$2:$D1000, D11)&gt;1, MATCH(D11, UNIQUE(FILTER($D$2:$D1000, COUNTIF($D$2:$D1000, $D$2:$D1000)&gt;1)), 0), """")"),"")</f>
        <v/>
      </c>
      <c r="G11" s="4" t="s">
        <v>58</v>
      </c>
      <c r="H11" s="4" t="s">
        <v>59</v>
      </c>
      <c r="I11" s="4" t="s">
        <v>60</v>
      </c>
      <c r="J11" s="4" t="s">
        <v>61</v>
      </c>
    </row>
    <row r="12">
      <c r="A12" s="3">
        <v>10011.0</v>
      </c>
      <c r="B12" s="4" t="s">
        <v>50</v>
      </c>
      <c r="C12" s="4" t="s">
        <v>51</v>
      </c>
      <c r="D12" s="4" t="s">
        <v>62</v>
      </c>
      <c r="E12" s="4" t="b">
        <f t="shared" si="1"/>
        <v>1</v>
      </c>
      <c r="F12" s="3">
        <f>IFERROR(__xludf.DUMMYFUNCTION("IF(COUNTIF($D$2:$D1000, D12)&gt;1, MATCH(D12, UNIQUE(FILTER($D$2:$D1000, COUNTIF($D$2:$D1000, $D$2:$D1000)&gt;1)), 0), """")"),10.0)</f>
        <v>10</v>
      </c>
      <c r="G12" s="7" t="s">
        <v>63</v>
      </c>
      <c r="H12" s="4" t="s">
        <v>64</v>
      </c>
      <c r="I12" s="4" t="s">
        <v>65</v>
      </c>
      <c r="J12" s="4" t="s">
        <v>66</v>
      </c>
    </row>
    <row r="13">
      <c r="A13" s="3">
        <v>10012.0</v>
      </c>
      <c r="B13" s="4" t="s">
        <v>50</v>
      </c>
      <c r="C13" s="4" t="s">
        <v>51</v>
      </c>
      <c r="D13" s="4" t="s">
        <v>67</v>
      </c>
      <c r="E13" s="4" t="b">
        <f t="shared" si="1"/>
        <v>0</v>
      </c>
      <c r="F13" s="3" t="str">
        <f>IFERROR(__xludf.DUMMYFUNCTION("IF(COUNTIF($D$2:$D1000, D13)&gt;1, MATCH(D13, UNIQUE(FILTER($D$2:$D1000, COUNTIF($D$2:$D1000, $D$2:$D1000)&gt;1)), 0), """")"),"")</f>
        <v/>
      </c>
      <c r="G13" s="4" t="s">
        <v>68</v>
      </c>
      <c r="H13" s="4" t="s">
        <v>69</v>
      </c>
      <c r="I13" s="9" t="s">
        <v>70</v>
      </c>
      <c r="J13" s="4" t="s">
        <v>71</v>
      </c>
    </row>
    <row r="14">
      <c r="A14" s="3">
        <v>10013.0</v>
      </c>
      <c r="B14" s="4" t="s">
        <v>50</v>
      </c>
      <c r="C14" s="4" t="s">
        <v>51</v>
      </c>
      <c r="D14" s="4" t="s">
        <v>72</v>
      </c>
      <c r="E14" s="4" t="b">
        <f t="shared" si="1"/>
        <v>1</v>
      </c>
      <c r="F14" s="3">
        <f>IFERROR(__xludf.DUMMYFUNCTION("IF(COUNTIF($D$2:$D1000, D14)&gt;1, MATCH(D14, UNIQUE(FILTER($D$2:$D1000, COUNTIF($D$2:$D1000, $D$2:$D1000)&gt;1)), 0), """")"),11.0)</f>
        <v>11</v>
      </c>
      <c r="G14" s="4" t="s">
        <v>73</v>
      </c>
      <c r="H14" s="5" t="s">
        <v>74</v>
      </c>
      <c r="I14" s="4" t="s">
        <v>75</v>
      </c>
      <c r="J14" s="4" t="s">
        <v>76</v>
      </c>
    </row>
    <row r="15">
      <c r="A15" s="3">
        <v>10014.0</v>
      </c>
      <c r="B15" s="4" t="s">
        <v>50</v>
      </c>
      <c r="C15" s="4" t="s">
        <v>51</v>
      </c>
      <c r="D15" s="4" t="s">
        <v>77</v>
      </c>
      <c r="E15" s="4" t="b">
        <f t="shared" si="1"/>
        <v>1</v>
      </c>
      <c r="F15" s="3">
        <f>IFERROR(__xludf.DUMMYFUNCTION("IF(COUNTIF($D$2:$D1000, D15)&gt;1, MATCH(D15, UNIQUE(FILTER($D$2:$D1000, COUNTIF($D$2:$D1000, $D$2:$D1000)&gt;1)), 0), """")"),12.0)</f>
        <v>12</v>
      </c>
      <c r="G15" s="7" t="s">
        <v>78</v>
      </c>
      <c r="H15" s="4" t="s">
        <v>79</v>
      </c>
      <c r="I15" s="4" t="s">
        <v>80</v>
      </c>
      <c r="J15" s="4" t="s">
        <v>81</v>
      </c>
    </row>
    <row r="16">
      <c r="A16" s="10">
        <v>10015.0</v>
      </c>
      <c r="B16" s="8" t="s">
        <v>8</v>
      </c>
      <c r="C16" s="8" t="s">
        <v>9</v>
      </c>
      <c r="D16" s="7" t="s">
        <v>82</v>
      </c>
      <c r="E16" s="7" t="b">
        <f t="shared" si="1"/>
        <v>1</v>
      </c>
      <c r="F16" s="10">
        <f>IFERROR(__xludf.DUMMYFUNCTION("IF(COUNTIF($D$2:$D1000, D16)&gt;1, MATCH(D16, UNIQUE(FILTER($D$2:$D1000, COUNTIF($D$2:$D1000, $D$2:$D1000)&gt;1)), 0), """")"),13.0)</f>
        <v>13</v>
      </c>
      <c r="G16" s="8" t="s">
        <v>83</v>
      </c>
      <c r="H16" s="8" t="s">
        <v>84</v>
      </c>
      <c r="I16" s="8" t="s">
        <v>85</v>
      </c>
      <c r="J16" s="8" t="s">
        <v>86</v>
      </c>
    </row>
    <row r="17">
      <c r="A17" s="3">
        <v>10016.0</v>
      </c>
      <c r="B17" s="4" t="s">
        <v>50</v>
      </c>
      <c r="C17" s="4" t="s">
        <v>51</v>
      </c>
      <c r="D17" s="4" t="s">
        <v>87</v>
      </c>
      <c r="E17" s="4" t="b">
        <f t="shared" si="1"/>
        <v>0</v>
      </c>
      <c r="F17" s="3" t="str">
        <f>IFERROR(__xludf.DUMMYFUNCTION("IF(COUNTIF($D$2:$D1000, D17)&gt;1, MATCH(D17, UNIQUE(FILTER($D$2:$D1000, COUNTIF($D$2:$D1000, $D$2:$D1000)&gt;1)), 0), """")"),"")</f>
        <v/>
      </c>
      <c r="G17" s="5" t="s">
        <v>88</v>
      </c>
      <c r="H17" s="5" t="s">
        <v>89</v>
      </c>
      <c r="I17" s="5" t="s">
        <v>90</v>
      </c>
      <c r="J17" s="5" t="s">
        <v>91</v>
      </c>
    </row>
    <row r="18">
      <c r="A18" s="3">
        <v>10017.0</v>
      </c>
      <c r="B18" s="4" t="s">
        <v>50</v>
      </c>
      <c r="C18" s="4" t="s">
        <v>51</v>
      </c>
      <c r="D18" s="4" t="s">
        <v>62</v>
      </c>
      <c r="E18" s="4" t="b">
        <f t="shared" si="1"/>
        <v>1</v>
      </c>
      <c r="F18" s="3">
        <f>IFERROR(__xludf.DUMMYFUNCTION("IF(COUNTIF($D$2:$D1000, D18)&gt;1, MATCH(D18, UNIQUE(FILTER($D$2:$D1000, COUNTIF($D$2:$D1000, $D$2:$D1000)&gt;1)), 0), """")"),10.0)</f>
        <v>10</v>
      </c>
      <c r="G18" s="6" t="s">
        <v>63</v>
      </c>
      <c r="H18" s="5" t="s">
        <v>64</v>
      </c>
      <c r="I18" s="5" t="s">
        <v>92</v>
      </c>
      <c r="J18" s="5" t="s">
        <v>93</v>
      </c>
    </row>
    <row r="19">
      <c r="A19" s="3">
        <v>10018.0</v>
      </c>
      <c r="B19" s="4" t="s">
        <v>8</v>
      </c>
      <c r="C19" s="4" t="s">
        <v>9</v>
      </c>
      <c r="D19" s="4" t="s">
        <v>25</v>
      </c>
      <c r="E19" s="4" t="b">
        <f t="shared" si="1"/>
        <v>1</v>
      </c>
      <c r="F19" s="3">
        <f>IFERROR(__xludf.DUMMYFUNCTION("IF(COUNTIF($D$2:$D1000, D19)&gt;1, MATCH(D19, UNIQUE(FILTER($D$2:$D1000, COUNTIF($D$2:$D1000, $D$2:$D1000)&gt;1)), 0), """")"),4.0)</f>
        <v>4</v>
      </c>
      <c r="G19" s="6" t="s">
        <v>26</v>
      </c>
      <c r="H19" s="5" t="s">
        <v>27</v>
      </c>
      <c r="I19" s="5" t="s">
        <v>94</v>
      </c>
      <c r="J19" s="5" t="s">
        <v>95</v>
      </c>
    </row>
    <row r="20">
      <c r="A20" s="3">
        <v>10019.0</v>
      </c>
      <c r="B20" s="4" t="s">
        <v>8</v>
      </c>
      <c r="C20" s="4" t="s">
        <v>9</v>
      </c>
      <c r="D20" s="4" t="s">
        <v>96</v>
      </c>
      <c r="E20" s="4" t="b">
        <f t="shared" si="1"/>
        <v>1</v>
      </c>
      <c r="F20" s="3">
        <f>IFERROR(__xludf.DUMMYFUNCTION("IF(COUNTIF($D$2:$D1000, D20)&gt;1, MATCH(D20, UNIQUE(FILTER($D$2:$D1000, COUNTIF($D$2:$D1000, $D$2:$D1000)&gt;1)), 0), """")"),14.0)</f>
        <v>14</v>
      </c>
      <c r="G20" s="6" t="s">
        <v>97</v>
      </c>
      <c r="H20" s="5" t="s">
        <v>98</v>
      </c>
      <c r="I20" s="5" t="s">
        <v>99</v>
      </c>
      <c r="J20" s="5" t="s">
        <v>100</v>
      </c>
    </row>
    <row r="21">
      <c r="A21" s="3">
        <v>10020.0</v>
      </c>
      <c r="B21" s="4" t="s">
        <v>8</v>
      </c>
      <c r="C21" s="4" t="s">
        <v>9</v>
      </c>
      <c r="D21" s="4" t="s">
        <v>101</v>
      </c>
      <c r="E21" s="4" t="b">
        <f t="shared" si="1"/>
        <v>1</v>
      </c>
      <c r="F21" s="3">
        <f>IFERROR(__xludf.DUMMYFUNCTION("IF(COUNTIF($D$2:$D1000, D21)&gt;1, MATCH(D21, UNIQUE(FILTER($D$2:$D1000, COUNTIF($D$2:$D1000, $D$2:$D1000)&gt;1)), 0), """")"),15.0)</f>
        <v>15</v>
      </c>
      <c r="G21" s="5" t="s">
        <v>102</v>
      </c>
      <c r="H21" s="5" t="s">
        <v>103</v>
      </c>
      <c r="I21" s="5" t="s">
        <v>104</v>
      </c>
      <c r="J21" s="5" t="s">
        <v>105</v>
      </c>
    </row>
    <row r="22">
      <c r="A22" s="3">
        <v>10021.0</v>
      </c>
      <c r="B22" s="4" t="s">
        <v>8</v>
      </c>
      <c r="C22" s="4" t="s">
        <v>9</v>
      </c>
      <c r="D22" s="4" t="s">
        <v>20</v>
      </c>
      <c r="E22" s="4" t="b">
        <f t="shared" si="1"/>
        <v>1</v>
      </c>
      <c r="F22" s="3">
        <f>IFERROR(__xludf.DUMMYFUNCTION("IF(COUNTIF($D$2:$D1000, D22)&gt;1, MATCH(D22, UNIQUE(FILTER($D$2:$D1000, COUNTIF($D$2:$D1000, $D$2:$D1000)&gt;1)), 0), """")"),3.0)</f>
        <v>3</v>
      </c>
      <c r="G22" s="6" t="s">
        <v>21</v>
      </c>
      <c r="H22" s="5" t="s">
        <v>22</v>
      </c>
      <c r="I22" s="5" t="s">
        <v>106</v>
      </c>
      <c r="J22" s="5" t="s">
        <v>107</v>
      </c>
    </row>
    <row r="23">
      <c r="A23" s="3">
        <v>10022.0</v>
      </c>
      <c r="B23" s="4" t="s">
        <v>8</v>
      </c>
      <c r="C23" s="4" t="s">
        <v>9</v>
      </c>
      <c r="D23" s="4" t="s">
        <v>108</v>
      </c>
      <c r="E23" s="4" t="b">
        <f t="shared" si="1"/>
        <v>1</v>
      </c>
      <c r="F23" s="3">
        <f>IFERROR(__xludf.DUMMYFUNCTION("IF(COUNTIF($D$2:$D1000, D23)&gt;1, MATCH(D23, UNIQUE(FILTER($D$2:$D1000, COUNTIF($D$2:$D1000, $D$2:$D1000)&gt;1)), 0), """")"),16.0)</f>
        <v>16</v>
      </c>
      <c r="G23" s="8" t="s">
        <v>109</v>
      </c>
      <c r="H23" s="8" t="s">
        <v>110</v>
      </c>
      <c r="I23" s="5" t="s">
        <v>111</v>
      </c>
      <c r="J23" s="5" t="s">
        <v>112</v>
      </c>
    </row>
    <row r="24">
      <c r="A24" s="3">
        <v>10023.0</v>
      </c>
      <c r="B24" s="4" t="s">
        <v>8</v>
      </c>
      <c r="C24" s="4" t="s">
        <v>9</v>
      </c>
      <c r="D24" s="4" t="s">
        <v>113</v>
      </c>
      <c r="E24" s="4" t="b">
        <f t="shared" si="1"/>
        <v>0</v>
      </c>
      <c r="F24" s="3" t="str">
        <f>IFERROR(__xludf.DUMMYFUNCTION("IF(COUNTIF($D$2:$D1000, D24)&gt;1, MATCH(D24, UNIQUE(FILTER($D$2:$D1000, COUNTIF($D$2:$D1000, $D$2:$D1000)&gt;1)), 0), """")"),"")</f>
        <v/>
      </c>
      <c r="G24" s="5" t="s">
        <v>114</v>
      </c>
      <c r="H24" s="5" t="s">
        <v>115</v>
      </c>
      <c r="I24" s="5" t="s">
        <v>116</v>
      </c>
      <c r="J24" s="5" t="s">
        <v>117</v>
      </c>
    </row>
    <row r="25">
      <c r="A25" s="3">
        <v>10024.0</v>
      </c>
      <c r="B25" s="4" t="s">
        <v>8</v>
      </c>
      <c r="C25" s="4" t="s">
        <v>9</v>
      </c>
      <c r="D25" s="4" t="s">
        <v>118</v>
      </c>
      <c r="E25" s="4" t="b">
        <f t="shared" si="1"/>
        <v>0</v>
      </c>
      <c r="F25" s="3" t="str">
        <f>IFERROR(__xludf.DUMMYFUNCTION("IF(COUNTIF($D$2:$D1000, D25)&gt;1, MATCH(D25, UNIQUE(FILTER($D$2:$D1000, COUNTIF($D$2:$D1000, $D$2:$D1000)&gt;1)), 0), """")"),"")</f>
        <v/>
      </c>
      <c r="G25" s="5" t="s">
        <v>119</v>
      </c>
      <c r="H25" s="5" t="s">
        <v>120</v>
      </c>
      <c r="I25" s="5" t="s">
        <v>121</v>
      </c>
      <c r="J25" s="5" t="s">
        <v>122</v>
      </c>
    </row>
    <row r="26">
      <c r="A26" s="3">
        <v>10025.0</v>
      </c>
      <c r="B26" s="4" t="s">
        <v>8</v>
      </c>
      <c r="C26" s="4" t="s">
        <v>9</v>
      </c>
      <c r="D26" s="4" t="s">
        <v>123</v>
      </c>
      <c r="E26" s="4" t="b">
        <f t="shared" si="1"/>
        <v>1</v>
      </c>
      <c r="F26" s="3">
        <f>IFERROR(__xludf.DUMMYFUNCTION("IF(COUNTIF($D$2:$D1000, D26)&gt;1, MATCH(D26, UNIQUE(FILTER($D$2:$D1000, COUNTIF($D$2:$D1000, $D$2:$D1000)&gt;1)), 0), """")"),17.0)</f>
        <v>17</v>
      </c>
      <c r="G26" s="5" t="s">
        <v>124</v>
      </c>
      <c r="H26" s="5" t="s">
        <v>125</v>
      </c>
      <c r="I26" s="5" t="s">
        <v>126</v>
      </c>
      <c r="J26" s="5" t="s">
        <v>127</v>
      </c>
    </row>
    <row r="27">
      <c r="A27" s="3">
        <v>10026.0</v>
      </c>
      <c r="B27" s="4" t="s">
        <v>8</v>
      </c>
      <c r="C27" s="4" t="s">
        <v>9</v>
      </c>
      <c r="D27" s="4" t="s">
        <v>128</v>
      </c>
      <c r="E27" s="4" t="b">
        <f t="shared" si="1"/>
        <v>1</v>
      </c>
      <c r="F27" s="3">
        <f>IFERROR(__xludf.DUMMYFUNCTION("IF(COUNTIF($D$2:$D1000, D27)&gt;1, MATCH(D27, UNIQUE(FILTER($D$2:$D1000, COUNTIF($D$2:$D1000, $D$2:$D1000)&gt;1)), 0), """")"),18.0)</f>
        <v>18</v>
      </c>
      <c r="G27" s="6" t="s">
        <v>129</v>
      </c>
      <c r="H27" s="5" t="s">
        <v>130</v>
      </c>
      <c r="I27" s="5" t="s">
        <v>131</v>
      </c>
      <c r="J27" s="5" t="s">
        <v>132</v>
      </c>
    </row>
    <row r="28">
      <c r="A28" s="3">
        <v>10027.0</v>
      </c>
      <c r="B28" s="4" t="s">
        <v>8</v>
      </c>
      <c r="C28" s="4" t="s">
        <v>9</v>
      </c>
      <c r="D28" s="4" t="s">
        <v>77</v>
      </c>
      <c r="E28" s="4" t="b">
        <f t="shared" si="1"/>
        <v>1</v>
      </c>
      <c r="F28" s="3">
        <f>IFERROR(__xludf.DUMMYFUNCTION("IF(COUNTIF($D$2:$D1000, D28)&gt;1, MATCH(D28, UNIQUE(FILTER($D$2:$D1000, COUNTIF($D$2:$D1000, $D$2:$D1000)&gt;1)), 0), """")"),12.0)</f>
        <v>12</v>
      </c>
      <c r="G28" s="7" t="s">
        <v>78</v>
      </c>
      <c r="H28" s="5" t="s">
        <v>133</v>
      </c>
      <c r="I28" s="5" t="s">
        <v>134</v>
      </c>
      <c r="J28" s="5" t="s">
        <v>135</v>
      </c>
    </row>
    <row r="29">
      <c r="A29" s="3">
        <v>10028.0</v>
      </c>
      <c r="B29" s="4" t="s">
        <v>8</v>
      </c>
      <c r="C29" s="4" t="s">
        <v>9</v>
      </c>
      <c r="D29" s="4" t="s">
        <v>40</v>
      </c>
      <c r="E29" s="4" t="b">
        <f t="shared" si="1"/>
        <v>1</v>
      </c>
      <c r="F29" s="3">
        <f>IFERROR(__xludf.DUMMYFUNCTION("IF(COUNTIF($D$2:$D1000, D29)&gt;1, MATCH(D29, UNIQUE(FILTER($D$2:$D1000, COUNTIF($D$2:$D1000, $D$2:$D1000)&gt;1)), 0), """")"),7.0)</f>
        <v>7</v>
      </c>
      <c r="G29" s="6" t="s">
        <v>136</v>
      </c>
      <c r="H29" s="5" t="s">
        <v>137</v>
      </c>
      <c r="I29" s="5" t="s">
        <v>138</v>
      </c>
      <c r="J29" s="5" t="s">
        <v>139</v>
      </c>
    </row>
    <row r="30">
      <c r="A30" s="3">
        <v>10029.0</v>
      </c>
      <c r="B30" s="4" t="s">
        <v>8</v>
      </c>
      <c r="C30" s="4" t="s">
        <v>9</v>
      </c>
      <c r="D30" s="4" t="s">
        <v>140</v>
      </c>
      <c r="E30" s="4" t="b">
        <f t="shared" si="1"/>
        <v>0</v>
      </c>
      <c r="F30" s="3" t="str">
        <f>IFERROR(__xludf.DUMMYFUNCTION("IF(COUNTIF($D$2:$D1000, D30)&gt;1, MATCH(D30, UNIQUE(FILTER($D$2:$D1000, COUNTIF($D$2:$D1000, $D$2:$D1000)&gt;1)), 0), """")"),"")</f>
        <v/>
      </c>
      <c r="G30" s="5" t="s">
        <v>141</v>
      </c>
      <c r="H30" s="5" t="s">
        <v>140</v>
      </c>
      <c r="I30" s="5" t="s">
        <v>142</v>
      </c>
      <c r="J30" s="5" t="s">
        <v>143</v>
      </c>
    </row>
    <row r="31">
      <c r="A31" s="3">
        <v>10030.0</v>
      </c>
      <c r="B31" s="4" t="s">
        <v>8</v>
      </c>
      <c r="C31" s="4" t="s">
        <v>9</v>
      </c>
      <c r="D31" s="4" t="s">
        <v>144</v>
      </c>
      <c r="E31" s="4" t="b">
        <f t="shared" si="1"/>
        <v>0</v>
      </c>
      <c r="F31" s="3" t="str">
        <f>IFERROR(__xludf.DUMMYFUNCTION("IF(COUNTIF($D$2:$D1000, D31)&gt;1, MATCH(D31, UNIQUE(FILTER($D$2:$D1000, COUNTIF($D$2:$D1000, $D$2:$D1000)&gt;1)), 0), """")"),"")</f>
        <v/>
      </c>
      <c r="G31" s="5" t="s">
        <v>145</v>
      </c>
      <c r="H31" s="5" t="s">
        <v>146</v>
      </c>
      <c r="I31" s="5" t="s">
        <v>147</v>
      </c>
      <c r="J31" s="5" t="s">
        <v>148</v>
      </c>
    </row>
    <row r="32">
      <c r="A32" s="3">
        <v>10031.0</v>
      </c>
      <c r="B32" s="4" t="s">
        <v>8</v>
      </c>
      <c r="C32" s="4" t="s">
        <v>9</v>
      </c>
      <c r="D32" s="4" t="s">
        <v>149</v>
      </c>
      <c r="E32" s="4" t="b">
        <f t="shared" si="1"/>
        <v>1</v>
      </c>
      <c r="F32" s="3">
        <f>IFERROR(__xludf.DUMMYFUNCTION("IF(COUNTIF($D$2:$D1000, D32)&gt;1, MATCH(D32, UNIQUE(FILTER($D$2:$D1000, COUNTIF($D$2:$D1000, $D$2:$D1000)&gt;1)), 0), """")"),19.0)</f>
        <v>19</v>
      </c>
      <c r="G32" s="6" t="s">
        <v>150</v>
      </c>
      <c r="H32" s="5" t="s">
        <v>151</v>
      </c>
      <c r="I32" s="5" t="s">
        <v>152</v>
      </c>
      <c r="J32" s="5" t="s">
        <v>153</v>
      </c>
    </row>
    <row r="33">
      <c r="A33" s="3">
        <v>10032.0</v>
      </c>
      <c r="B33" s="4" t="s">
        <v>8</v>
      </c>
      <c r="C33" s="4" t="s">
        <v>9</v>
      </c>
      <c r="D33" s="4" t="s">
        <v>30</v>
      </c>
      <c r="E33" s="4" t="b">
        <f t="shared" si="1"/>
        <v>1</v>
      </c>
      <c r="F33" s="3">
        <f>IFERROR(__xludf.DUMMYFUNCTION("IF(COUNTIF($D$2:$D1000, D33)&gt;1, MATCH(D33, UNIQUE(FILTER($D$2:$D1000, COUNTIF($D$2:$D1000, $D$2:$D1000)&gt;1)), 0), """")"),5.0)</f>
        <v>5</v>
      </c>
      <c r="G33" s="8" t="s">
        <v>31</v>
      </c>
      <c r="H33" s="8" t="s">
        <v>32</v>
      </c>
      <c r="I33" s="5" t="s">
        <v>154</v>
      </c>
      <c r="J33" s="5" t="s">
        <v>155</v>
      </c>
    </row>
    <row r="34">
      <c r="A34" s="3">
        <v>10033.0</v>
      </c>
      <c r="B34" s="4" t="s">
        <v>8</v>
      </c>
      <c r="C34" s="4" t="s">
        <v>9</v>
      </c>
      <c r="D34" s="4" t="s">
        <v>156</v>
      </c>
      <c r="E34" s="4" t="b">
        <f t="shared" si="1"/>
        <v>0</v>
      </c>
      <c r="F34" s="3" t="str">
        <f>IFERROR(__xludf.DUMMYFUNCTION("IF(COUNTIF($D$2:$D1000, D34)&gt;1, MATCH(D34, UNIQUE(FILTER($D$2:$D1000, COUNTIF($D$2:$D1000, $D$2:$D1000)&gt;1)), 0), """")"),"")</f>
        <v/>
      </c>
      <c r="G34" s="5" t="s">
        <v>157</v>
      </c>
      <c r="H34" s="5" t="s">
        <v>158</v>
      </c>
      <c r="I34" s="5" t="s">
        <v>159</v>
      </c>
      <c r="J34" s="5" t="s">
        <v>160</v>
      </c>
    </row>
    <row r="35">
      <c r="A35" s="3">
        <v>10034.0</v>
      </c>
      <c r="B35" s="4" t="s">
        <v>8</v>
      </c>
      <c r="C35" s="4" t="s">
        <v>9</v>
      </c>
      <c r="D35" s="4" t="s">
        <v>161</v>
      </c>
      <c r="E35" s="4" t="b">
        <f t="shared" si="1"/>
        <v>0</v>
      </c>
      <c r="F35" s="3" t="str">
        <f>IFERROR(__xludf.DUMMYFUNCTION("IF(COUNTIF($D$2:$D1000, D35)&gt;1, MATCH(D35, UNIQUE(FILTER($D$2:$D1000, COUNTIF($D$2:$D1000, $D$2:$D1000)&gt;1)), 0), """")"),"")</f>
        <v/>
      </c>
      <c r="G35" s="5" t="s">
        <v>162</v>
      </c>
      <c r="H35" s="5" t="s">
        <v>163</v>
      </c>
      <c r="I35" s="5" t="s">
        <v>164</v>
      </c>
      <c r="J35" s="5" t="s">
        <v>165</v>
      </c>
    </row>
    <row r="36">
      <c r="A36" s="3">
        <v>10035.0</v>
      </c>
      <c r="B36" s="4" t="s">
        <v>8</v>
      </c>
      <c r="C36" s="4" t="s">
        <v>9</v>
      </c>
      <c r="D36" s="4" t="s">
        <v>166</v>
      </c>
      <c r="E36" s="4" t="b">
        <f t="shared" si="1"/>
        <v>0</v>
      </c>
      <c r="F36" s="3" t="str">
        <f>IFERROR(__xludf.DUMMYFUNCTION("IF(COUNTIF($D$2:$D1000, D36)&gt;1, MATCH(D36, UNIQUE(FILTER($D$2:$D1000, COUNTIF($D$2:$D1000, $D$2:$D1000)&gt;1)), 0), """")"),"")</f>
        <v/>
      </c>
      <c r="G36" s="5" t="s">
        <v>167</v>
      </c>
      <c r="H36" s="5" t="s">
        <v>168</v>
      </c>
      <c r="I36" s="5" t="s">
        <v>169</v>
      </c>
      <c r="J36" s="5" t="s">
        <v>170</v>
      </c>
    </row>
    <row r="37">
      <c r="A37" s="3">
        <v>10036.0</v>
      </c>
      <c r="B37" s="4" t="s">
        <v>8</v>
      </c>
      <c r="C37" s="4" t="s">
        <v>9</v>
      </c>
      <c r="D37" s="4" t="s">
        <v>171</v>
      </c>
      <c r="E37" s="4" t="b">
        <f t="shared" si="1"/>
        <v>0</v>
      </c>
      <c r="F37" s="3" t="str">
        <f>IFERROR(__xludf.DUMMYFUNCTION("IF(COUNTIF($D$2:$D1000, D37)&gt;1, MATCH(D37, UNIQUE(FILTER($D$2:$D1000, COUNTIF($D$2:$D1000, $D$2:$D1000)&gt;1)), 0), """")"),"")</f>
        <v/>
      </c>
      <c r="G37" s="5" t="s">
        <v>172</v>
      </c>
      <c r="H37" s="5" t="s">
        <v>173</v>
      </c>
      <c r="I37" s="5" t="s">
        <v>174</v>
      </c>
      <c r="J37" s="5" t="s">
        <v>175</v>
      </c>
    </row>
    <row r="38">
      <c r="A38" s="3">
        <v>10037.0</v>
      </c>
      <c r="B38" s="4" t="s">
        <v>8</v>
      </c>
      <c r="C38" s="4" t="s">
        <v>9</v>
      </c>
      <c r="D38" s="4" t="s">
        <v>128</v>
      </c>
      <c r="E38" s="4" t="b">
        <f t="shared" si="1"/>
        <v>1</v>
      </c>
      <c r="F38" s="3">
        <f>IFERROR(__xludf.DUMMYFUNCTION("IF(COUNTIF($D$2:$D1000, D38)&gt;1, MATCH(D38, UNIQUE(FILTER($D$2:$D1000, COUNTIF($D$2:$D1000, $D$2:$D1000)&gt;1)), 0), """")"),18.0)</f>
        <v>18</v>
      </c>
      <c r="G38" s="6" t="s">
        <v>129</v>
      </c>
      <c r="H38" s="5" t="s">
        <v>130</v>
      </c>
      <c r="I38" s="5" t="s">
        <v>176</v>
      </c>
      <c r="J38" s="5" t="s">
        <v>177</v>
      </c>
    </row>
    <row r="39">
      <c r="A39" s="3">
        <v>10038.0</v>
      </c>
      <c r="B39" s="4" t="s">
        <v>8</v>
      </c>
      <c r="C39" s="4" t="s">
        <v>9</v>
      </c>
      <c r="D39" s="4" t="s">
        <v>178</v>
      </c>
      <c r="E39" s="4" t="b">
        <f t="shared" si="1"/>
        <v>1</v>
      </c>
      <c r="F39" s="3">
        <f>IFERROR(__xludf.DUMMYFUNCTION("IF(COUNTIF($D$2:$D1000, D39)&gt;1, MATCH(D39, UNIQUE(FILTER($D$2:$D1000, COUNTIF($D$2:$D1000, $D$2:$D1000)&gt;1)), 0), """")"),20.0)</f>
        <v>20</v>
      </c>
      <c r="G39" s="11" t="s">
        <v>179</v>
      </c>
      <c r="H39" s="12" t="s">
        <v>178</v>
      </c>
      <c r="I39" s="12" t="s">
        <v>180</v>
      </c>
      <c r="J39" s="12" t="s">
        <v>181</v>
      </c>
    </row>
    <row r="40">
      <c r="A40" s="3">
        <v>10039.0</v>
      </c>
      <c r="B40" s="4" t="s">
        <v>8</v>
      </c>
      <c r="C40" s="4" t="s">
        <v>9</v>
      </c>
      <c r="D40" s="4" t="s">
        <v>178</v>
      </c>
      <c r="E40" s="4" t="b">
        <f t="shared" si="1"/>
        <v>1</v>
      </c>
      <c r="F40" s="3">
        <f>IFERROR(__xludf.DUMMYFUNCTION("IF(COUNTIF($D$2:$D1000, D40)&gt;1, MATCH(D40, UNIQUE(FILTER($D$2:$D1000, COUNTIF($D$2:$D1000, $D$2:$D1000)&gt;1)), 0), """")"),20.0)</f>
        <v>20</v>
      </c>
      <c r="G40" s="11" t="s">
        <v>179</v>
      </c>
      <c r="H40" s="12" t="s">
        <v>178</v>
      </c>
      <c r="I40" s="12" t="s">
        <v>182</v>
      </c>
      <c r="J40" s="12" t="s">
        <v>183</v>
      </c>
    </row>
    <row r="41">
      <c r="A41" s="3">
        <v>10040.0</v>
      </c>
      <c r="B41" s="4" t="s">
        <v>8</v>
      </c>
      <c r="C41" s="4" t="s">
        <v>9</v>
      </c>
      <c r="D41" s="4" t="s">
        <v>40</v>
      </c>
      <c r="E41" s="4" t="b">
        <f t="shared" si="1"/>
        <v>1</v>
      </c>
      <c r="F41" s="3">
        <f>IFERROR(__xludf.DUMMYFUNCTION("IF(COUNTIF($D$2:$D1000, D41)&gt;1, MATCH(D41, UNIQUE(FILTER($D$2:$D1000, COUNTIF($D$2:$D1000, $D$2:$D1000)&gt;1)), 0), """")"),7.0)</f>
        <v>7</v>
      </c>
      <c r="G41" s="11" t="s">
        <v>184</v>
      </c>
      <c r="H41" s="12" t="s">
        <v>185</v>
      </c>
      <c r="I41" s="12" t="s">
        <v>186</v>
      </c>
      <c r="J41" s="12" t="s">
        <v>187</v>
      </c>
    </row>
    <row r="42">
      <c r="A42" s="3">
        <v>10041.0</v>
      </c>
      <c r="B42" s="4" t="s">
        <v>8</v>
      </c>
      <c r="C42" s="4" t="s">
        <v>9</v>
      </c>
      <c r="D42" s="4" t="s">
        <v>40</v>
      </c>
      <c r="E42" s="4" t="b">
        <f t="shared" si="1"/>
        <v>1</v>
      </c>
      <c r="F42" s="3">
        <f>IFERROR(__xludf.DUMMYFUNCTION("IF(COUNTIF($D$2:$D1000, D42)&gt;1, MATCH(D42, UNIQUE(FILTER($D$2:$D1000, COUNTIF($D$2:$D1000, $D$2:$D1000)&gt;1)), 0), """")"),7.0)</f>
        <v>7</v>
      </c>
      <c r="G42" s="11" t="s">
        <v>184</v>
      </c>
      <c r="H42" s="12" t="s">
        <v>185</v>
      </c>
      <c r="I42" s="12" t="s">
        <v>188</v>
      </c>
      <c r="J42" s="12" t="s">
        <v>189</v>
      </c>
    </row>
    <row r="43">
      <c r="A43" s="3">
        <v>10042.0</v>
      </c>
      <c r="B43" s="4" t="s">
        <v>8</v>
      </c>
      <c r="C43" s="4" t="s">
        <v>9</v>
      </c>
      <c r="D43" s="4" t="s">
        <v>190</v>
      </c>
      <c r="E43" s="4" t="b">
        <f t="shared" si="1"/>
        <v>0</v>
      </c>
      <c r="F43" s="3" t="str">
        <f>IFERROR(__xludf.DUMMYFUNCTION("IF(COUNTIF($D$2:$D1000, D43)&gt;1, MATCH(D43, UNIQUE(FILTER($D$2:$D1000, COUNTIF($D$2:$D1000, $D$2:$D1000)&gt;1)), 0), """")"),"")</f>
        <v/>
      </c>
      <c r="G43" s="12" t="s">
        <v>191</v>
      </c>
      <c r="H43" s="12" t="s">
        <v>190</v>
      </c>
      <c r="I43" s="12" t="s">
        <v>192</v>
      </c>
      <c r="J43" s="12" t="s">
        <v>193</v>
      </c>
    </row>
    <row r="44">
      <c r="A44" s="3">
        <v>10043.0</v>
      </c>
      <c r="B44" s="4" t="s">
        <v>8</v>
      </c>
      <c r="C44" s="4" t="s">
        <v>9</v>
      </c>
      <c r="D44" s="4" t="s">
        <v>194</v>
      </c>
      <c r="E44" s="4" t="b">
        <f t="shared" si="1"/>
        <v>0</v>
      </c>
      <c r="F44" s="3" t="str">
        <f>IFERROR(__xludf.DUMMYFUNCTION("IF(COUNTIF($D$2:$D1000, D44)&gt;1, MATCH(D44, UNIQUE(FILTER($D$2:$D1000, COUNTIF($D$2:$D1000, $D$2:$D1000)&gt;1)), 0), """")"),"")</f>
        <v/>
      </c>
      <c r="G44" s="12" t="s">
        <v>195</v>
      </c>
      <c r="H44" s="12" t="s">
        <v>196</v>
      </c>
      <c r="I44" s="12" t="s">
        <v>197</v>
      </c>
      <c r="J44" s="12" t="s">
        <v>198</v>
      </c>
    </row>
    <row r="45">
      <c r="A45" s="3">
        <v>10044.0</v>
      </c>
      <c r="B45" s="4" t="s">
        <v>8</v>
      </c>
      <c r="C45" s="4" t="s">
        <v>9</v>
      </c>
      <c r="D45" s="4" t="s">
        <v>199</v>
      </c>
      <c r="E45" s="4" t="b">
        <f t="shared" si="1"/>
        <v>0</v>
      </c>
      <c r="F45" s="3" t="str">
        <f>IFERROR(__xludf.DUMMYFUNCTION("IF(COUNTIF($D$2:$D1000, D45)&gt;1, MATCH(D45, UNIQUE(FILTER($D$2:$D1000, COUNTIF($D$2:$D1000, $D$2:$D1000)&gt;1)), 0), """")"),"")</f>
        <v/>
      </c>
      <c r="G45" s="12" t="s">
        <v>200</v>
      </c>
      <c r="H45" s="12" t="s">
        <v>201</v>
      </c>
      <c r="I45" s="12" t="s">
        <v>202</v>
      </c>
      <c r="J45" s="12" t="s">
        <v>203</v>
      </c>
    </row>
    <row r="46">
      <c r="A46" s="3">
        <v>10045.0</v>
      </c>
      <c r="B46" s="4" t="s">
        <v>8</v>
      </c>
      <c r="C46" s="4" t="s">
        <v>9</v>
      </c>
      <c r="D46" s="4" t="s">
        <v>204</v>
      </c>
      <c r="E46" s="4" t="b">
        <f t="shared" si="1"/>
        <v>0</v>
      </c>
      <c r="F46" s="3" t="str">
        <f>IFERROR(__xludf.DUMMYFUNCTION("IF(COUNTIF($D$2:$D1000, D46)&gt;1, MATCH(D46, UNIQUE(FILTER($D$2:$D1000, COUNTIF($D$2:$D1000, $D$2:$D1000)&gt;1)), 0), """")"),"")</f>
        <v/>
      </c>
      <c r="G46" s="12" t="s">
        <v>205</v>
      </c>
      <c r="H46" s="12" t="s">
        <v>206</v>
      </c>
      <c r="I46" s="12" t="s">
        <v>207</v>
      </c>
      <c r="J46" s="12" t="s">
        <v>208</v>
      </c>
    </row>
    <row r="47">
      <c r="A47" s="3">
        <v>10046.0</v>
      </c>
      <c r="B47" s="4" t="s">
        <v>8</v>
      </c>
      <c r="C47" s="4" t="s">
        <v>9</v>
      </c>
      <c r="D47" s="4" t="s">
        <v>40</v>
      </c>
      <c r="E47" s="4" t="b">
        <f t="shared" si="1"/>
        <v>1</v>
      </c>
      <c r="F47" s="3">
        <f>IFERROR(__xludf.DUMMYFUNCTION("IF(COUNTIF($D$2:$D1000, D47)&gt;1, MATCH(D47, UNIQUE(FILTER($D$2:$D1000, COUNTIF($D$2:$D1000, $D$2:$D1000)&gt;1)), 0), """")"),7.0)</f>
        <v>7</v>
      </c>
      <c r="G47" s="11" t="s">
        <v>209</v>
      </c>
      <c r="H47" s="12" t="s">
        <v>210</v>
      </c>
      <c r="I47" s="12" t="s">
        <v>211</v>
      </c>
      <c r="J47" s="12" t="s">
        <v>212</v>
      </c>
    </row>
    <row r="48">
      <c r="A48" s="3">
        <v>10047.0</v>
      </c>
      <c r="B48" s="4" t="s">
        <v>8</v>
      </c>
      <c r="C48" s="4" t="s">
        <v>9</v>
      </c>
      <c r="D48" s="4" t="s">
        <v>213</v>
      </c>
      <c r="E48" s="4" t="b">
        <f t="shared" si="1"/>
        <v>1</v>
      </c>
      <c r="F48" s="3">
        <f>IFERROR(__xludf.DUMMYFUNCTION("IF(COUNTIF($D$2:$D1000, D48)&gt;1, MATCH(D48, UNIQUE(FILTER($D$2:$D1000, COUNTIF($D$2:$D1000, $D$2:$D1000)&gt;1)), 0), """")"),21.0)</f>
        <v>21</v>
      </c>
      <c r="G48" s="12" t="s">
        <v>214</v>
      </c>
      <c r="H48" s="12" t="s">
        <v>215</v>
      </c>
      <c r="I48" s="12" t="s">
        <v>216</v>
      </c>
      <c r="J48" s="12" t="s">
        <v>217</v>
      </c>
    </row>
    <row r="49">
      <c r="A49" s="3">
        <v>10048.0</v>
      </c>
      <c r="B49" s="4" t="s">
        <v>8</v>
      </c>
      <c r="C49" s="4" t="s">
        <v>9</v>
      </c>
      <c r="D49" s="4" t="s">
        <v>40</v>
      </c>
      <c r="E49" s="4" t="b">
        <f t="shared" si="1"/>
        <v>1</v>
      </c>
      <c r="F49" s="3">
        <f>IFERROR(__xludf.DUMMYFUNCTION("IF(COUNTIF($D$2:$D1000, D49)&gt;1, MATCH(D49, UNIQUE(FILTER($D$2:$D1000, COUNTIF($D$2:$D1000, $D$2:$D1000)&gt;1)), 0), """")"),7.0)</f>
        <v>7</v>
      </c>
      <c r="G49" s="11" t="s">
        <v>41</v>
      </c>
      <c r="H49" s="12" t="s">
        <v>42</v>
      </c>
      <c r="I49" s="12" t="s">
        <v>218</v>
      </c>
      <c r="J49" s="12" t="s">
        <v>219</v>
      </c>
    </row>
    <row r="50">
      <c r="A50" s="3">
        <v>10049.0</v>
      </c>
      <c r="B50" s="4" t="s">
        <v>8</v>
      </c>
      <c r="C50" s="4" t="s">
        <v>9</v>
      </c>
      <c r="D50" s="4" t="s">
        <v>45</v>
      </c>
      <c r="E50" s="4" t="b">
        <f t="shared" si="1"/>
        <v>1</v>
      </c>
      <c r="F50" s="3">
        <f>IFERROR(__xludf.DUMMYFUNCTION("IF(COUNTIF($D$2:$D1000, D50)&gt;1, MATCH(D50, UNIQUE(FILTER($D$2:$D1000, COUNTIF($D$2:$D1000, $D$2:$D1000)&gt;1)), 0), """")"),8.0)</f>
        <v>8</v>
      </c>
      <c r="G50" s="11" t="s">
        <v>46</v>
      </c>
      <c r="H50" s="12" t="s">
        <v>47</v>
      </c>
      <c r="I50" s="12" t="s">
        <v>220</v>
      </c>
      <c r="J50" s="12" t="s">
        <v>221</v>
      </c>
    </row>
    <row r="51">
      <c r="A51" s="3">
        <v>10050.0</v>
      </c>
      <c r="B51" s="4" t="s">
        <v>8</v>
      </c>
      <c r="C51" s="4" t="s">
        <v>9</v>
      </c>
      <c r="D51" s="4" t="s">
        <v>40</v>
      </c>
      <c r="E51" s="4" t="b">
        <f t="shared" si="1"/>
        <v>1</v>
      </c>
      <c r="F51" s="3">
        <f>IFERROR(__xludf.DUMMYFUNCTION("IF(COUNTIF($D$2:$D1000, D51)&gt;1, MATCH(D51, UNIQUE(FILTER($D$2:$D1000, COUNTIF($D$2:$D1000, $D$2:$D1000)&gt;1)), 0), """")"),7.0)</f>
        <v>7</v>
      </c>
      <c r="G51" s="11" t="s">
        <v>222</v>
      </c>
      <c r="H51" s="12" t="s">
        <v>223</v>
      </c>
      <c r="I51" s="12" t="s">
        <v>224</v>
      </c>
      <c r="J51" s="12" t="s">
        <v>225</v>
      </c>
    </row>
    <row r="52">
      <c r="A52" s="3">
        <v>10051.0</v>
      </c>
      <c r="B52" s="4" t="s">
        <v>8</v>
      </c>
      <c r="C52" s="4" t="s">
        <v>9</v>
      </c>
      <c r="D52" s="4" t="s">
        <v>40</v>
      </c>
      <c r="E52" s="4" t="b">
        <f t="shared" si="1"/>
        <v>1</v>
      </c>
      <c r="F52" s="3">
        <f>IFERROR(__xludf.DUMMYFUNCTION("IF(COUNTIF($D$2:$D1000, D52)&gt;1, MATCH(D52, UNIQUE(FILTER($D$2:$D1000, COUNTIF($D$2:$D1000, $D$2:$D1000)&gt;1)), 0), """")"),7.0)</f>
        <v>7</v>
      </c>
      <c r="G52" s="11" t="s">
        <v>226</v>
      </c>
      <c r="H52" s="12" t="s">
        <v>227</v>
      </c>
      <c r="I52" s="12" t="s">
        <v>228</v>
      </c>
      <c r="J52" s="12" t="s">
        <v>229</v>
      </c>
    </row>
    <row r="53">
      <c r="A53" s="3">
        <v>10052.0</v>
      </c>
      <c r="B53" s="4" t="s">
        <v>8</v>
      </c>
      <c r="C53" s="4" t="s">
        <v>9</v>
      </c>
      <c r="D53" s="4" t="s">
        <v>230</v>
      </c>
      <c r="E53" s="4" t="b">
        <f t="shared" si="1"/>
        <v>0</v>
      </c>
      <c r="F53" s="3" t="str">
        <f>IFERROR(__xludf.DUMMYFUNCTION("IF(COUNTIF($D$2:$D1000, D53)&gt;1, MATCH(D53, UNIQUE(FILTER($D$2:$D1000, COUNTIF($D$2:$D1000, $D$2:$D1000)&gt;1)), 0), """")"),"")</f>
        <v/>
      </c>
      <c r="G53" s="12" t="s">
        <v>231</v>
      </c>
      <c r="H53" s="12" t="s">
        <v>232</v>
      </c>
      <c r="I53" s="12" t="s">
        <v>233</v>
      </c>
      <c r="J53" s="12" t="s">
        <v>234</v>
      </c>
    </row>
    <row r="54">
      <c r="A54" s="3">
        <v>10053.0</v>
      </c>
      <c r="B54" s="4" t="s">
        <v>8</v>
      </c>
      <c r="C54" s="4" t="s">
        <v>9</v>
      </c>
      <c r="D54" s="4" t="s">
        <v>235</v>
      </c>
      <c r="E54" s="4" t="b">
        <f t="shared" si="1"/>
        <v>1</v>
      </c>
      <c r="F54" s="3">
        <f>IFERROR(__xludf.DUMMYFUNCTION("IF(COUNTIF($D$2:$D1000, D54)&gt;1, MATCH(D54, UNIQUE(FILTER($D$2:$D1000, COUNTIF($D$2:$D1000, $D$2:$D1000)&gt;1)), 0), """")"),22.0)</f>
        <v>22</v>
      </c>
      <c r="G54" s="8" t="s">
        <v>236</v>
      </c>
      <c r="H54" s="8" t="s">
        <v>237</v>
      </c>
      <c r="I54" s="12" t="s">
        <v>238</v>
      </c>
      <c r="J54" s="12" t="s">
        <v>239</v>
      </c>
    </row>
    <row r="55">
      <c r="A55" s="3">
        <v>10054.0</v>
      </c>
      <c r="B55" s="4" t="s">
        <v>8</v>
      </c>
      <c r="C55" s="4" t="s">
        <v>9</v>
      </c>
      <c r="D55" s="4" t="s">
        <v>240</v>
      </c>
      <c r="E55" s="4" t="b">
        <f t="shared" si="1"/>
        <v>0</v>
      </c>
      <c r="F55" s="3" t="str">
        <f>IFERROR(__xludf.DUMMYFUNCTION("IF(COUNTIF($D$2:$D1000, D55)&gt;1, MATCH(D55, UNIQUE(FILTER($D$2:$D1000, COUNTIF($D$2:$D1000, $D$2:$D1000)&gt;1)), 0), """")"),"")</f>
        <v/>
      </c>
      <c r="G55" s="12" t="s">
        <v>241</v>
      </c>
      <c r="H55" s="12" t="s">
        <v>242</v>
      </c>
      <c r="I55" s="12" t="s">
        <v>243</v>
      </c>
      <c r="J55" s="12" t="s">
        <v>244</v>
      </c>
    </row>
    <row r="56">
      <c r="A56" s="3">
        <v>10055.0</v>
      </c>
      <c r="B56" s="4" t="s">
        <v>8</v>
      </c>
      <c r="C56" s="4" t="s">
        <v>9</v>
      </c>
      <c r="D56" s="4" t="s">
        <v>40</v>
      </c>
      <c r="E56" s="4" t="b">
        <f t="shared" si="1"/>
        <v>1</v>
      </c>
      <c r="F56" s="3">
        <f>IFERROR(__xludf.DUMMYFUNCTION("IF(COUNTIF($D$2:$D1000, D56)&gt;1, MATCH(D56, UNIQUE(FILTER($D$2:$D1000, COUNTIF($D$2:$D1000, $D$2:$D1000)&gt;1)), 0), """")"),7.0)</f>
        <v>7</v>
      </c>
      <c r="G56" s="11" t="s">
        <v>245</v>
      </c>
      <c r="H56" s="12" t="s">
        <v>246</v>
      </c>
      <c r="I56" s="12" t="s">
        <v>247</v>
      </c>
      <c r="J56" s="12" t="s">
        <v>248</v>
      </c>
    </row>
    <row r="57">
      <c r="A57" s="3">
        <v>10056.0</v>
      </c>
      <c r="B57" s="4" t="s">
        <v>8</v>
      </c>
      <c r="C57" s="4" t="s">
        <v>9</v>
      </c>
      <c r="D57" s="4" t="s">
        <v>249</v>
      </c>
      <c r="E57" s="4" t="b">
        <f t="shared" si="1"/>
        <v>0</v>
      </c>
      <c r="F57" s="3" t="str">
        <f>IFERROR(__xludf.DUMMYFUNCTION("IF(COUNTIF($D$2:$D1000, D57)&gt;1, MATCH(D57, UNIQUE(FILTER($D$2:$D1000, COUNTIF($D$2:$D1000, $D$2:$D1000)&gt;1)), 0), """")"),"")</f>
        <v/>
      </c>
      <c r="G57" s="12" t="s">
        <v>250</v>
      </c>
      <c r="H57" s="12" t="s">
        <v>251</v>
      </c>
      <c r="I57" s="12" t="s">
        <v>252</v>
      </c>
      <c r="J57" s="12" t="s">
        <v>253</v>
      </c>
    </row>
    <row r="58">
      <c r="A58" s="3">
        <v>10057.0</v>
      </c>
      <c r="B58" s="4" t="s">
        <v>8</v>
      </c>
      <c r="C58" s="4" t="s">
        <v>9</v>
      </c>
      <c r="D58" s="4" t="s">
        <v>128</v>
      </c>
      <c r="E58" s="4" t="b">
        <f t="shared" si="1"/>
        <v>1</v>
      </c>
      <c r="F58" s="3">
        <f>IFERROR(__xludf.DUMMYFUNCTION("IF(COUNTIF($D$2:$D1000, D58)&gt;1, MATCH(D58, UNIQUE(FILTER($D$2:$D1000, COUNTIF($D$2:$D1000, $D$2:$D1000)&gt;1)), 0), """")"),18.0)</f>
        <v>18</v>
      </c>
      <c r="G58" s="11" t="s">
        <v>129</v>
      </c>
      <c r="H58" s="12" t="s">
        <v>130</v>
      </c>
      <c r="I58" s="12" t="s">
        <v>254</v>
      </c>
      <c r="J58" s="12" t="s">
        <v>255</v>
      </c>
    </row>
    <row r="59">
      <c r="A59" s="3">
        <v>10058.0</v>
      </c>
      <c r="B59" s="4" t="s">
        <v>8</v>
      </c>
      <c r="C59" s="4" t="s">
        <v>9</v>
      </c>
      <c r="D59" s="4" t="s">
        <v>256</v>
      </c>
      <c r="E59" s="4" t="b">
        <f t="shared" si="1"/>
        <v>0</v>
      </c>
      <c r="F59" s="3" t="str">
        <f>IFERROR(__xludf.DUMMYFUNCTION("IF(COUNTIF($D$2:$D1000, D59)&gt;1, MATCH(D59, UNIQUE(FILTER($D$2:$D1000, COUNTIF($D$2:$D1000, $D$2:$D1000)&gt;1)), 0), """")"),"")</f>
        <v/>
      </c>
      <c r="G59" s="12" t="s">
        <v>257</v>
      </c>
      <c r="H59" s="12" t="s">
        <v>258</v>
      </c>
      <c r="I59" s="12" t="s">
        <v>259</v>
      </c>
      <c r="J59" s="12" t="s">
        <v>260</v>
      </c>
    </row>
    <row r="60">
      <c r="A60" s="3">
        <v>10059.0</v>
      </c>
      <c r="B60" s="4" t="s">
        <v>8</v>
      </c>
      <c r="C60" s="4" t="s">
        <v>9</v>
      </c>
      <c r="D60" s="4" t="s">
        <v>96</v>
      </c>
      <c r="E60" s="4" t="b">
        <f t="shared" si="1"/>
        <v>1</v>
      </c>
      <c r="F60" s="3">
        <f>IFERROR(__xludf.DUMMYFUNCTION("IF(COUNTIF($D$2:$D1000, D60)&gt;1, MATCH(D60, UNIQUE(FILTER($D$2:$D1000, COUNTIF($D$2:$D1000, $D$2:$D1000)&gt;1)), 0), """")"),14.0)</f>
        <v>14</v>
      </c>
      <c r="G60" s="11" t="s">
        <v>97</v>
      </c>
      <c r="H60" s="12" t="s">
        <v>98</v>
      </c>
      <c r="I60" s="12" t="s">
        <v>261</v>
      </c>
      <c r="J60" s="12" t="s">
        <v>262</v>
      </c>
    </row>
    <row r="61">
      <c r="A61" s="3">
        <v>10060.0</v>
      </c>
      <c r="B61" s="4" t="s">
        <v>8</v>
      </c>
      <c r="C61" s="4" t="s">
        <v>9</v>
      </c>
      <c r="D61" s="4" t="s">
        <v>263</v>
      </c>
      <c r="E61" s="4" t="b">
        <f t="shared" si="1"/>
        <v>1</v>
      </c>
      <c r="F61" s="3">
        <f>IFERROR(__xludf.DUMMYFUNCTION("IF(COUNTIF($D$2:$D1000, D61)&gt;1, MATCH(D61, UNIQUE(FILTER($D$2:$D1000, COUNTIF($D$2:$D1000, $D$2:$D1000)&gt;1)), 0), """")"),23.0)</f>
        <v>23</v>
      </c>
      <c r="G61" s="12" t="s">
        <v>264</v>
      </c>
      <c r="H61" s="12" t="s">
        <v>265</v>
      </c>
      <c r="I61" s="12" t="s">
        <v>266</v>
      </c>
      <c r="J61" s="12" t="s">
        <v>267</v>
      </c>
    </row>
    <row r="62">
      <c r="A62" s="3">
        <v>10061.0</v>
      </c>
      <c r="B62" s="4" t="s">
        <v>8</v>
      </c>
      <c r="C62" s="4" t="s">
        <v>9</v>
      </c>
      <c r="D62" s="4" t="s">
        <v>268</v>
      </c>
      <c r="E62" s="4" t="b">
        <f t="shared" si="1"/>
        <v>1</v>
      </c>
      <c r="F62" s="3">
        <f>IFERROR(__xludf.DUMMYFUNCTION("IF(COUNTIF($D$2:$D1000, D62)&gt;1, MATCH(D62, UNIQUE(FILTER($D$2:$D1000, COUNTIF($D$2:$D1000, $D$2:$D1000)&gt;1)), 0), """")"),24.0)</f>
        <v>24</v>
      </c>
      <c r="G62" s="12" t="s">
        <v>269</v>
      </c>
      <c r="H62" s="12" t="s">
        <v>270</v>
      </c>
      <c r="I62" s="12" t="s">
        <v>271</v>
      </c>
      <c r="J62" s="12" t="s">
        <v>272</v>
      </c>
    </row>
    <row r="63">
      <c r="A63" s="3">
        <v>10062.0</v>
      </c>
      <c r="B63" s="4" t="s">
        <v>8</v>
      </c>
      <c r="C63" s="4" t="s">
        <v>9</v>
      </c>
      <c r="D63" s="4" t="s">
        <v>273</v>
      </c>
      <c r="E63" s="4" t="b">
        <f t="shared" si="1"/>
        <v>0</v>
      </c>
      <c r="F63" s="3" t="str">
        <f>IFERROR(__xludf.DUMMYFUNCTION("IF(COUNTIF($D$2:$D1000, D63)&gt;1, MATCH(D63, UNIQUE(FILTER($D$2:$D1000, COUNTIF($D$2:$D1000, $D$2:$D1000)&gt;1)), 0), """")"),"")</f>
        <v/>
      </c>
      <c r="G63" s="11" t="s">
        <v>274</v>
      </c>
      <c r="H63" s="11" t="s">
        <v>275</v>
      </c>
      <c r="I63" s="11" t="s">
        <v>276</v>
      </c>
      <c r="J63" s="11" t="s">
        <v>277</v>
      </c>
    </row>
    <row r="64">
      <c r="A64" s="3">
        <v>10063.0</v>
      </c>
      <c r="B64" s="4" t="s">
        <v>8</v>
      </c>
      <c r="C64" s="4" t="s">
        <v>9</v>
      </c>
      <c r="D64" s="4" t="s">
        <v>278</v>
      </c>
      <c r="E64" s="4" t="b">
        <f t="shared" si="1"/>
        <v>1</v>
      </c>
      <c r="F64" s="3">
        <f>IFERROR(__xludf.DUMMYFUNCTION("IF(COUNTIF($D$2:$D1000, D64)&gt;1, MATCH(D64, UNIQUE(FILTER($D$2:$D1000, COUNTIF($D$2:$D1000, $D$2:$D1000)&gt;1)), 0), """")"),25.0)</f>
        <v>25</v>
      </c>
      <c r="G64" s="12" t="s">
        <v>279</v>
      </c>
      <c r="H64" s="12" t="s">
        <v>280</v>
      </c>
      <c r="I64" s="12" t="s">
        <v>281</v>
      </c>
      <c r="J64" s="12" t="s">
        <v>282</v>
      </c>
    </row>
    <row r="65">
      <c r="A65" s="3">
        <v>10064.0</v>
      </c>
      <c r="B65" s="4" t="s">
        <v>8</v>
      </c>
      <c r="C65" s="4" t="s">
        <v>9</v>
      </c>
      <c r="D65" s="4" t="s">
        <v>149</v>
      </c>
      <c r="E65" s="4" t="b">
        <f t="shared" si="1"/>
        <v>1</v>
      </c>
      <c r="F65" s="3">
        <f>IFERROR(__xludf.DUMMYFUNCTION("IF(COUNTIF($D$2:$D1000, D65)&gt;1, MATCH(D65, UNIQUE(FILTER($D$2:$D1000, COUNTIF($D$2:$D1000, $D$2:$D1000)&gt;1)), 0), """")"),19.0)</f>
        <v>19</v>
      </c>
      <c r="G65" s="11" t="s">
        <v>150</v>
      </c>
      <c r="H65" s="12" t="s">
        <v>151</v>
      </c>
      <c r="I65" s="12" t="s">
        <v>283</v>
      </c>
      <c r="J65" s="12" t="s">
        <v>284</v>
      </c>
    </row>
    <row r="66">
      <c r="A66" s="13">
        <v>10065.0</v>
      </c>
      <c r="B66" s="14" t="s">
        <v>8</v>
      </c>
      <c r="C66" s="14" t="s">
        <v>9</v>
      </c>
      <c r="D66" s="15" t="s">
        <v>285</v>
      </c>
      <c r="E66" s="15" t="b">
        <f t="shared" si="1"/>
        <v>0</v>
      </c>
      <c r="F66" s="29" t="str">
        <f>IFERROR(__xludf.DUMMYFUNCTION("IF(COUNTIF($D$2:$D1000, D66)&gt;1, MATCH(D66, UNIQUE(FILTER($D$2:$D1000, COUNTIF($D$2:$D1000, $D$2:$D1000)&gt;1)), 0), """")"),"")</f>
        <v/>
      </c>
      <c r="G66" s="16" t="s">
        <v>286</v>
      </c>
      <c r="H66" s="17" t="s">
        <v>287</v>
      </c>
      <c r="I66" s="17" t="s">
        <v>288</v>
      </c>
      <c r="J66" s="17" t="s">
        <v>289</v>
      </c>
    </row>
    <row r="67">
      <c r="A67" s="3">
        <v>10066.0</v>
      </c>
      <c r="B67" s="18" t="s">
        <v>8</v>
      </c>
      <c r="C67" s="18" t="s">
        <v>9</v>
      </c>
      <c r="D67" s="4" t="s">
        <v>290</v>
      </c>
      <c r="E67" s="4" t="b">
        <f t="shared" si="1"/>
        <v>1</v>
      </c>
      <c r="F67" s="3">
        <f>IFERROR(__xludf.DUMMYFUNCTION("IF(COUNTIF($D$2:$D1000, D67)&gt;1, MATCH(D67, UNIQUE(FILTER($D$2:$D1000, COUNTIF($D$2:$D1000, $D$2:$D1000)&gt;1)), 0), """")"),26.0)</f>
        <v>26</v>
      </c>
      <c r="G67" s="19" t="s">
        <v>291</v>
      </c>
      <c r="H67" s="19" t="s">
        <v>292</v>
      </c>
      <c r="I67" s="20" t="s">
        <v>293</v>
      </c>
      <c r="J67" s="20" t="s">
        <v>294</v>
      </c>
    </row>
    <row r="68">
      <c r="A68" s="10">
        <v>10067.0</v>
      </c>
      <c r="B68" s="8" t="s">
        <v>295</v>
      </c>
      <c r="C68" s="8" t="s">
        <v>296</v>
      </c>
      <c r="D68" s="7" t="s">
        <v>297</v>
      </c>
      <c r="E68" s="7" t="b">
        <f t="shared" si="1"/>
        <v>0</v>
      </c>
      <c r="F68" s="10" t="str">
        <f>IFERROR(__xludf.DUMMYFUNCTION("IF(COUNTIF($D$2:$D1000, D68)&gt;1, MATCH(D68, UNIQUE(FILTER($D$2:$D1000, COUNTIF($D$2:$D1000, $D$2:$D1000)&gt;1)), 0), """")"),"")</f>
        <v/>
      </c>
      <c r="G68" s="8" t="s">
        <v>298</v>
      </c>
      <c r="H68" s="8" t="s">
        <v>299</v>
      </c>
      <c r="I68" s="8" t="s">
        <v>300</v>
      </c>
      <c r="J68" s="8" t="s">
        <v>301</v>
      </c>
    </row>
    <row r="69">
      <c r="A69" s="3">
        <v>10068.0</v>
      </c>
      <c r="B69" s="18" t="s">
        <v>302</v>
      </c>
      <c r="C69" s="18" t="s">
        <v>303</v>
      </c>
      <c r="D69" s="4" t="s">
        <v>304</v>
      </c>
      <c r="E69" s="4" t="b">
        <f t="shared" si="1"/>
        <v>1</v>
      </c>
      <c r="F69" s="3">
        <f>IFERROR(__xludf.DUMMYFUNCTION("IF(COUNTIF($D$2:$D1000, D69)&gt;1, MATCH(D69, UNIQUE(FILTER($D$2:$D1000, COUNTIF($D$2:$D1000, $D$2:$D1000)&gt;1)), 0), """")"),27.0)</f>
        <v>27</v>
      </c>
      <c r="G69" s="19" t="s">
        <v>305</v>
      </c>
      <c r="H69" s="20" t="s">
        <v>304</v>
      </c>
      <c r="I69" s="19" t="s">
        <v>306</v>
      </c>
      <c r="J69" s="19" t="s">
        <v>307</v>
      </c>
    </row>
    <row r="70">
      <c r="A70" s="3">
        <v>10069.0</v>
      </c>
      <c r="B70" s="18" t="s">
        <v>308</v>
      </c>
      <c r="C70" s="18" t="s">
        <v>309</v>
      </c>
      <c r="D70" s="4" t="s">
        <v>72</v>
      </c>
      <c r="E70" s="4" t="b">
        <f t="shared" si="1"/>
        <v>1</v>
      </c>
      <c r="F70" s="3">
        <f>IFERROR(__xludf.DUMMYFUNCTION("IF(COUNTIF($D$2:$D1000, D70)&gt;1, MATCH(D70, UNIQUE(FILTER($D$2:$D1000, COUNTIF($D$2:$D1000, $D$2:$D1000)&gt;1)), 0), """")"),11.0)</f>
        <v>11</v>
      </c>
      <c r="G70" s="20" t="s">
        <v>73</v>
      </c>
      <c r="H70" s="19" t="s">
        <v>74</v>
      </c>
      <c r="I70" s="19" t="s">
        <v>310</v>
      </c>
      <c r="J70" s="19" t="s">
        <v>311</v>
      </c>
    </row>
    <row r="71">
      <c r="A71" s="3">
        <v>10070.0</v>
      </c>
      <c r="B71" s="18" t="s">
        <v>312</v>
      </c>
      <c r="C71" s="18" t="s">
        <v>313</v>
      </c>
      <c r="D71" s="4" t="s">
        <v>45</v>
      </c>
      <c r="E71" s="4" t="b">
        <f t="shared" si="1"/>
        <v>1</v>
      </c>
      <c r="F71" s="3">
        <f>IFERROR(__xludf.DUMMYFUNCTION("IF(COUNTIF($D$2:$D1000, D71)&gt;1, MATCH(D71, UNIQUE(FILTER($D$2:$D1000, COUNTIF($D$2:$D1000, $D$2:$D1000)&gt;1)), 0), """")"),8.0)</f>
        <v>8</v>
      </c>
      <c r="G71" s="19" t="s">
        <v>46</v>
      </c>
      <c r="H71" s="19" t="s">
        <v>47</v>
      </c>
      <c r="I71" s="19" t="s">
        <v>314</v>
      </c>
      <c r="J71" s="19" t="s">
        <v>315</v>
      </c>
    </row>
    <row r="72">
      <c r="A72" s="21">
        <v>10071.0</v>
      </c>
      <c r="B72" s="22" t="s">
        <v>295</v>
      </c>
      <c r="C72" s="22" t="s">
        <v>296</v>
      </c>
      <c r="D72" s="23" t="s">
        <v>316</v>
      </c>
      <c r="E72" s="23" t="b">
        <f t="shared" si="1"/>
        <v>1</v>
      </c>
      <c r="F72" s="21">
        <f>IFERROR(__xludf.DUMMYFUNCTION("IF(COUNTIF($D$2:$D1000, D72)&gt;1, MATCH(D72, UNIQUE(FILTER($D$2:$D1000, COUNTIF($D$2:$D1000, $D$2:$D1000)&gt;1)), 0), """")"),28.0)</f>
        <v>28</v>
      </c>
      <c r="G72" s="24" t="s">
        <v>317</v>
      </c>
      <c r="H72" s="24" t="s">
        <v>318</v>
      </c>
      <c r="I72" s="24" t="s">
        <v>319</v>
      </c>
      <c r="J72" s="24" t="s">
        <v>320</v>
      </c>
    </row>
    <row r="73">
      <c r="A73" s="3">
        <v>10072.0</v>
      </c>
      <c r="B73" s="5" t="s">
        <v>8</v>
      </c>
      <c r="C73" s="5" t="s">
        <v>9</v>
      </c>
      <c r="D73" s="4" t="s">
        <v>321</v>
      </c>
      <c r="E73" s="4" t="b">
        <f t="shared" si="1"/>
        <v>1</v>
      </c>
      <c r="F73" s="3">
        <f>IFERROR(__xludf.DUMMYFUNCTION("IF(COUNTIF($D$2:$D1000, D73)&gt;1, MATCH(D73, UNIQUE(FILTER($D$2:$D1000, COUNTIF($D$2:$D1000, $D$2:$D1000)&gt;1)), 0), """")"),29.0)</f>
        <v>29</v>
      </c>
      <c r="G73" s="11" t="s">
        <v>322</v>
      </c>
      <c r="H73" s="11" t="s">
        <v>321</v>
      </c>
      <c r="I73" s="11" t="s">
        <v>323</v>
      </c>
      <c r="J73" s="11" t="s">
        <v>324</v>
      </c>
    </row>
    <row r="74">
      <c r="A74" s="3">
        <v>10073.0</v>
      </c>
      <c r="B74" s="5" t="s">
        <v>8</v>
      </c>
      <c r="C74" s="5" t="s">
        <v>9</v>
      </c>
      <c r="D74" s="4" t="s">
        <v>290</v>
      </c>
      <c r="E74" s="4" t="b">
        <f t="shared" si="1"/>
        <v>1</v>
      </c>
      <c r="F74" s="3">
        <f>IFERROR(__xludf.DUMMYFUNCTION("IF(COUNTIF($D$2:$D1000, D74)&gt;1, MATCH(D74, UNIQUE(FILTER($D$2:$D1000, COUNTIF($D$2:$D1000, $D$2:$D1000)&gt;1)), 0), """")"),26.0)</f>
        <v>26</v>
      </c>
      <c r="G74" s="11" t="s">
        <v>291</v>
      </c>
      <c r="H74" s="11" t="s">
        <v>292</v>
      </c>
      <c r="I74" s="11" t="s">
        <v>325</v>
      </c>
      <c r="J74" s="11" t="s">
        <v>326</v>
      </c>
    </row>
    <row r="75">
      <c r="A75" s="3">
        <v>10074.0</v>
      </c>
      <c r="B75" s="5" t="s">
        <v>8</v>
      </c>
      <c r="C75" s="5" t="s">
        <v>9</v>
      </c>
      <c r="D75" s="4" t="s">
        <v>327</v>
      </c>
      <c r="E75" s="4" t="b">
        <f t="shared" si="1"/>
        <v>1</v>
      </c>
      <c r="F75" s="3">
        <f>IFERROR(__xludf.DUMMYFUNCTION("IF(COUNTIF($D$2:$D1000, D75)&gt;1, MATCH(D75, UNIQUE(FILTER($D$2:$D1000, COUNTIF($D$2:$D1000, $D$2:$D1000)&gt;1)), 0), """")"),30.0)</f>
        <v>30</v>
      </c>
      <c r="G75" s="11" t="s">
        <v>328</v>
      </c>
      <c r="H75" s="11" t="s">
        <v>327</v>
      </c>
      <c r="I75" s="11" t="s">
        <v>329</v>
      </c>
      <c r="J75" s="11" t="s">
        <v>330</v>
      </c>
    </row>
    <row r="76">
      <c r="A76" s="3">
        <v>10075.0</v>
      </c>
      <c r="B76" s="12" t="s">
        <v>8</v>
      </c>
      <c r="C76" s="12" t="s">
        <v>9</v>
      </c>
      <c r="D76" s="4" t="s">
        <v>331</v>
      </c>
      <c r="E76" s="4" t="b">
        <f t="shared" si="1"/>
        <v>1</v>
      </c>
      <c r="F76" s="3">
        <f>IFERROR(__xludf.DUMMYFUNCTION("IF(COUNTIF($D$2:$D1000, D76)&gt;1, MATCH(D76, UNIQUE(FILTER($D$2:$D1000, COUNTIF($D$2:$D1000, $D$2:$D1000)&gt;1)), 0), """")"),31.0)</f>
        <v>31</v>
      </c>
      <c r="G76" s="11" t="s">
        <v>332</v>
      </c>
      <c r="H76" s="11" t="s">
        <v>331</v>
      </c>
      <c r="I76" s="11" t="s">
        <v>333</v>
      </c>
      <c r="J76" s="12" t="s">
        <v>334</v>
      </c>
    </row>
    <row r="77">
      <c r="A77" s="3">
        <v>10076.0</v>
      </c>
      <c r="B77" s="12" t="s">
        <v>8</v>
      </c>
      <c r="C77" s="12" t="s">
        <v>9</v>
      </c>
      <c r="D77" s="4" t="s">
        <v>335</v>
      </c>
      <c r="E77" s="4" t="b">
        <f t="shared" si="1"/>
        <v>1</v>
      </c>
      <c r="F77" s="3">
        <f>IFERROR(__xludf.DUMMYFUNCTION("IF(COUNTIF($D$2:$D1000, D77)&gt;1, MATCH(D77, UNIQUE(FILTER($D$2:$D1000, COUNTIF($D$2:$D1000, $D$2:$D1000)&gt;1)), 0), """")"),32.0)</f>
        <v>32</v>
      </c>
      <c r="G77" s="8" t="s">
        <v>336</v>
      </c>
      <c r="H77" s="11" t="s">
        <v>337</v>
      </c>
      <c r="I77" s="11" t="s">
        <v>338</v>
      </c>
      <c r="J77" s="12" t="s">
        <v>339</v>
      </c>
    </row>
    <row r="78">
      <c r="A78" s="3">
        <v>10077.0</v>
      </c>
      <c r="B78" s="12" t="s">
        <v>8</v>
      </c>
      <c r="C78" s="12" t="s">
        <v>9</v>
      </c>
      <c r="D78" s="4" t="s">
        <v>52</v>
      </c>
      <c r="E78" s="4" t="b">
        <f t="shared" si="1"/>
        <v>1</v>
      </c>
      <c r="F78" s="3">
        <f>IFERROR(__xludf.DUMMYFUNCTION("IF(COUNTIF($D$2:$D1000, D78)&gt;1, MATCH(D78, UNIQUE(FILTER($D$2:$D1000, COUNTIF($D$2:$D1000, $D$2:$D1000)&gt;1)), 0), """")"),9.0)</f>
        <v>9</v>
      </c>
      <c r="G78" s="11" t="s">
        <v>53</v>
      </c>
      <c r="H78" s="12" t="s">
        <v>54</v>
      </c>
      <c r="I78" s="11" t="s">
        <v>340</v>
      </c>
      <c r="J78" s="12" t="s">
        <v>341</v>
      </c>
    </row>
    <row r="79">
      <c r="A79" s="3">
        <v>10078.0</v>
      </c>
      <c r="B79" s="12" t="s">
        <v>8</v>
      </c>
      <c r="C79" s="12" t="s">
        <v>9</v>
      </c>
      <c r="D79" s="4" t="s">
        <v>342</v>
      </c>
      <c r="E79" s="4" t="b">
        <f t="shared" si="1"/>
        <v>1</v>
      </c>
      <c r="F79" s="3">
        <f>IFERROR(__xludf.DUMMYFUNCTION("IF(COUNTIF($D$2:$D1000, D79)&gt;1, MATCH(D79, UNIQUE(FILTER($D$2:$D1000, COUNTIF($D$2:$D1000, $D$2:$D1000)&gt;1)), 0), """")"),33.0)</f>
        <v>33</v>
      </c>
      <c r="G79" s="11" t="s">
        <v>343</v>
      </c>
      <c r="H79" s="12" t="s">
        <v>344</v>
      </c>
      <c r="I79" s="11" t="s">
        <v>345</v>
      </c>
      <c r="J79" s="12" t="s">
        <v>346</v>
      </c>
    </row>
    <row r="80">
      <c r="A80" s="3">
        <v>10079.0</v>
      </c>
      <c r="B80" s="12" t="s">
        <v>8</v>
      </c>
      <c r="C80" s="12" t="s">
        <v>9</v>
      </c>
      <c r="D80" s="4" t="s">
        <v>347</v>
      </c>
      <c r="E80" s="4" t="b">
        <f t="shared" si="1"/>
        <v>1</v>
      </c>
      <c r="F80" s="3">
        <f>IFERROR(__xludf.DUMMYFUNCTION("IF(COUNTIF($D$2:$D1000, D80)&gt;1, MATCH(D80, UNIQUE(FILTER($D$2:$D1000, COUNTIF($D$2:$D1000, $D$2:$D1000)&gt;1)), 0), """")"),34.0)</f>
        <v>34</v>
      </c>
      <c r="G80" s="11" t="s">
        <v>348</v>
      </c>
      <c r="H80" s="12" t="s">
        <v>349</v>
      </c>
      <c r="I80" s="11" t="s">
        <v>350</v>
      </c>
      <c r="J80" s="12" t="s">
        <v>351</v>
      </c>
    </row>
    <row r="81">
      <c r="A81" s="3">
        <v>10080.0</v>
      </c>
      <c r="B81" s="12" t="s">
        <v>8</v>
      </c>
      <c r="C81" s="12" t="s">
        <v>9</v>
      </c>
      <c r="D81" s="4" t="s">
        <v>352</v>
      </c>
      <c r="E81" s="4" t="b">
        <f t="shared" si="1"/>
        <v>0</v>
      </c>
      <c r="F81" s="3" t="str">
        <f>IFERROR(__xludf.DUMMYFUNCTION("IF(COUNTIF($D$2:$D1000, D81)&gt;1, MATCH(D81, UNIQUE(FILTER($D$2:$D1000, COUNTIF($D$2:$D1000, $D$2:$D1000)&gt;1)), 0), """")"),"")</f>
        <v/>
      </c>
      <c r="G81" s="11" t="s">
        <v>353</v>
      </c>
      <c r="H81" s="12" t="s">
        <v>354</v>
      </c>
      <c r="I81" s="11" t="s">
        <v>355</v>
      </c>
      <c r="J81" s="12" t="s">
        <v>356</v>
      </c>
    </row>
    <row r="82">
      <c r="A82" s="3">
        <v>10081.0</v>
      </c>
      <c r="B82" s="12" t="s">
        <v>50</v>
      </c>
      <c r="C82" s="12" t="s">
        <v>51</v>
      </c>
      <c r="D82" s="4" t="s">
        <v>62</v>
      </c>
      <c r="E82" s="4" t="b">
        <f t="shared" si="1"/>
        <v>1</v>
      </c>
      <c r="F82" s="3">
        <f>IFERROR(__xludf.DUMMYFUNCTION("IF(COUNTIF($D$2:$D1000, D82)&gt;1, MATCH(D82, UNIQUE(FILTER($D$2:$D1000, COUNTIF($D$2:$D1000, $D$2:$D1000)&gt;1)), 0), """")"),10.0)</f>
        <v>10</v>
      </c>
      <c r="G82" s="11" t="s">
        <v>63</v>
      </c>
      <c r="H82" s="12" t="s">
        <v>64</v>
      </c>
      <c r="I82" s="11" t="s">
        <v>357</v>
      </c>
      <c r="J82" s="12" t="s">
        <v>358</v>
      </c>
    </row>
    <row r="83">
      <c r="A83" s="3">
        <v>10082.0</v>
      </c>
      <c r="B83" s="12" t="s">
        <v>50</v>
      </c>
      <c r="C83" s="12" t="s">
        <v>51</v>
      </c>
      <c r="D83" s="4" t="s">
        <v>359</v>
      </c>
      <c r="E83" s="4" t="b">
        <f t="shared" si="1"/>
        <v>1</v>
      </c>
      <c r="F83" s="3">
        <f>IFERROR(__xludf.DUMMYFUNCTION("IF(COUNTIF($D$2:$D1000, D83)&gt;1, MATCH(D83, UNIQUE(FILTER($D$2:$D1000, COUNTIF($D$2:$D1000, $D$2:$D1000)&gt;1)), 0), """")"),35.0)</f>
        <v>35</v>
      </c>
      <c r="G83" s="11" t="s">
        <v>360</v>
      </c>
      <c r="H83" s="12" t="s">
        <v>361</v>
      </c>
      <c r="I83" s="11" t="s">
        <v>362</v>
      </c>
      <c r="J83" s="12" t="s">
        <v>363</v>
      </c>
    </row>
    <row r="84">
      <c r="A84" s="3">
        <v>10083.0</v>
      </c>
      <c r="B84" s="12" t="s">
        <v>50</v>
      </c>
      <c r="C84" s="12" t="s">
        <v>51</v>
      </c>
      <c r="D84" s="4" t="s">
        <v>149</v>
      </c>
      <c r="E84" s="4" t="b">
        <f t="shared" si="1"/>
        <v>1</v>
      </c>
      <c r="F84" s="3">
        <f>IFERROR(__xludf.DUMMYFUNCTION("IF(COUNTIF($D$2:$D1000, D84)&gt;1, MATCH(D84, UNIQUE(FILTER($D$2:$D1000, COUNTIF($D$2:$D1000, $D$2:$D1000)&gt;1)), 0), """")"),19.0)</f>
        <v>19</v>
      </c>
      <c r="G84" s="11" t="s">
        <v>150</v>
      </c>
      <c r="H84" s="11" t="s">
        <v>151</v>
      </c>
      <c r="I84" s="11" t="s">
        <v>364</v>
      </c>
      <c r="J84" s="12" t="s">
        <v>365</v>
      </c>
    </row>
    <row r="85">
      <c r="A85" s="3">
        <v>10084.0</v>
      </c>
      <c r="B85" s="12" t="s">
        <v>50</v>
      </c>
      <c r="C85" s="12" t="s">
        <v>51</v>
      </c>
      <c r="D85" s="4" t="s">
        <v>366</v>
      </c>
      <c r="E85" s="4" t="b">
        <f t="shared" si="1"/>
        <v>1</v>
      </c>
      <c r="F85" s="3">
        <f>IFERROR(__xludf.DUMMYFUNCTION("IF(COUNTIF($D$2:$D1000, D85)&gt;1, MATCH(D85, UNIQUE(FILTER($D$2:$D1000, COUNTIF($D$2:$D1000, $D$2:$D1000)&gt;1)), 0), """")"),36.0)</f>
        <v>36</v>
      </c>
      <c r="G85" s="11" t="s">
        <v>367</v>
      </c>
      <c r="H85" s="11" t="s">
        <v>368</v>
      </c>
      <c r="I85" s="11" t="s">
        <v>369</v>
      </c>
      <c r="J85" s="12" t="s">
        <v>370</v>
      </c>
    </row>
    <row r="86">
      <c r="A86" s="3">
        <v>10085.0</v>
      </c>
      <c r="B86" s="12" t="s">
        <v>50</v>
      </c>
      <c r="C86" s="12" t="s">
        <v>51</v>
      </c>
      <c r="D86" s="4" t="s">
        <v>371</v>
      </c>
      <c r="E86" s="4" t="b">
        <f t="shared" si="1"/>
        <v>1</v>
      </c>
      <c r="F86" s="3">
        <f>IFERROR(__xludf.DUMMYFUNCTION("IF(COUNTIF($D$2:$D1000, D86)&gt;1, MATCH(D86, UNIQUE(FILTER($D$2:$D1000, COUNTIF($D$2:$D1000, $D$2:$D1000)&gt;1)), 0), """")"),37.0)</f>
        <v>37</v>
      </c>
      <c r="G86" s="11" t="s">
        <v>372</v>
      </c>
      <c r="H86" s="11" t="s">
        <v>373</v>
      </c>
      <c r="I86" s="11" t="s">
        <v>374</v>
      </c>
      <c r="J86" s="12" t="s">
        <v>375</v>
      </c>
    </row>
    <row r="87">
      <c r="A87" s="3">
        <v>10086.0</v>
      </c>
      <c r="B87" s="12" t="s">
        <v>50</v>
      </c>
      <c r="C87" s="12" t="s">
        <v>51</v>
      </c>
      <c r="D87" s="4" t="s">
        <v>376</v>
      </c>
      <c r="E87" s="4" t="b">
        <f t="shared" si="1"/>
        <v>1</v>
      </c>
      <c r="F87" s="3">
        <f>IFERROR(__xludf.DUMMYFUNCTION("IF(COUNTIF($D$2:$D1000, D87)&gt;1, MATCH(D87, UNIQUE(FILTER($D$2:$D1000, COUNTIF($D$2:$D1000, $D$2:$D1000)&gt;1)), 0), """")"),38.0)</f>
        <v>38</v>
      </c>
      <c r="G87" s="11" t="s">
        <v>377</v>
      </c>
      <c r="H87" s="11" t="s">
        <v>378</v>
      </c>
      <c r="I87" s="11" t="s">
        <v>379</v>
      </c>
      <c r="J87" s="12" t="s">
        <v>380</v>
      </c>
    </row>
    <row r="88">
      <c r="A88" s="3">
        <v>10087.0</v>
      </c>
      <c r="B88" s="12" t="s">
        <v>50</v>
      </c>
      <c r="C88" s="12" t="s">
        <v>51</v>
      </c>
      <c r="D88" s="4" t="s">
        <v>381</v>
      </c>
      <c r="E88" s="4" t="b">
        <f t="shared" si="1"/>
        <v>0</v>
      </c>
      <c r="F88" s="3" t="str">
        <f>IFERROR(__xludf.DUMMYFUNCTION("IF(COUNTIF($D$2:$D1000, D88)&gt;1, MATCH(D88, UNIQUE(FILTER($D$2:$D1000, COUNTIF($D$2:$D1000, $D$2:$D1000)&gt;1)), 0), """")"),"")</f>
        <v/>
      </c>
      <c r="G88" s="11" t="s">
        <v>382</v>
      </c>
      <c r="H88" s="11" t="s">
        <v>383</v>
      </c>
      <c r="I88" s="11" t="s">
        <v>384</v>
      </c>
      <c r="J88" s="12" t="s">
        <v>385</v>
      </c>
    </row>
    <row r="89">
      <c r="A89" s="3">
        <v>10088.0</v>
      </c>
      <c r="B89" s="12" t="s">
        <v>50</v>
      </c>
      <c r="C89" s="12" t="s">
        <v>51</v>
      </c>
      <c r="D89" s="4" t="s">
        <v>10</v>
      </c>
      <c r="E89" s="4" t="b">
        <f t="shared" si="1"/>
        <v>1</v>
      </c>
      <c r="F89" s="3">
        <f>IFERROR(__xludf.DUMMYFUNCTION("IF(COUNTIF($D$2:$D1000, D89)&gt;1, MATCH(D89, UNIQUE(FILTER($D$2:$D1000, COUNTIF($D$2:$D1000, $D$2:$D1000)&gt;1)), 0), """")"),1.0)</f>
        <v>1</v>
      </c>
      <c r="G89" s="11" t="s">
        <v>11</v>
      </c>
      <c r="H89" s="11" t="s">
        <v>12</v>
      </c>
      <c r="I89" s="11" t="s">
        <v>386</v>
      </c>
      <c r="J89" s="12" t="s">
        <v>387</v>
      </c>
    </row>
    <row r="90">
      <c r="A90" s="10">
        <v>10089.0</v>
      </c>
      <c r="B90" s="8" t="s">
        <v>308</v>
      </c>
      <c r="C90" s="8" t="s">
        <v>309</v>
      </c>
      <c r="D90" s="7" t="s">
        <v>388</v>
      </c>
      <c r="E90" s="7" t="b">
        <f t="shared" si="1"/>
        <v>1</v>
      </c>
      <c r="F90" s="10">
        <f>IFERROR(__xludf.DUMMYFUNCTION("IF(COUNTIF($D$2:$D1000, D90)&gt;1, MATCH(D90, UNIQUE(FILTER($D$2:$D1000, COUNTIF($D$2:$D1000, $D$2:$D1000)&gt;1)), 0), """")"),39.0)</f>
        <v>39</v>
      </c>
      <c r="G90" s="8" t="s">
        <v>389</v>
      </c>
      <c r="H90" s="8" t="s">
        <v>390</v>
      </c>
      <c r="I90" s="8" t="s">
        <v>391</v>
      </c>
      <c r="J90" s="8" t="s">
        <v>392</v>
      </c>
    </row>
    <row r="91">
      <c r="A91" s="3">
        <v>10090.0</v>
      </c>
      <c r="B91" s="12" t="s">
        <v>302</v>
      </c>
      <c r="C91" s="12" t="s">
        <v>303</v>
      </c>
      <c r="D91" s="4" t="s">
        <v>25</v>
      </c>
      <c r="E91" s="4" t="b">
        <f t="shared" si="1"/>
        <v>1</v>
      </c>
      <c r="F91" s="3">
        <f>IFERROR(__xludf.DUMMYFUNCTION("IF(COUNTIF($D$2:$D1000, D91)&gt;1, MATCH(D91, UNIQUE(FILTER($D$2:$D1000, COUNTIF($D$2:$D1000, $D$2:$D1000)&gt;1)), 0), """")"),4.0)</f>
        <v>4</v>
      </c>
      <c r="G91" s="11" t="s">
        <v>26</v>
      </c>
      <c r="H91" s="11" t="s">
        <v>27</v>
      </c>
      <c r="I91" s="11" t="s">
        <v>393</v>
      </c>
      <c r="J91" s="12" t="s">
        <v>394</v>
      </c>
    </row>
    <row r="92">
      <c r="A92" s="3">
        <v>10091.0</v>
      </c>
      <c r="B92" s="12" t="s">
        <v>302</v>
      </c>
      <c r="C92" s="12" t="s">
        <v>303</v>
      </c>
      <c r="D92" s="4" t="s">
        <v>395</v>
      </c>
      <c r="E92" s="4" t="b">
        <f t="shared" si="1"/>
        <v>1</v>
      </c>
      <c r="F92" s="3">
        <f>IFERROR(__xludf.DUMMYFUNCTION("IF(COUNTIF($D$2:$D1000, D92)&gt;1, MATCH(D92, UNIQUE(FILTER($D$2:$D1000, COUNTIF($D$2:$D1000, $D$2:$D1000)&gt;1)), 0), """")"),40.0)</f>
        <v>40</v>
      </c>
      <c r="G92" s="11" t="s">
        <v>396</v>
      </c>
      <c r="H92" s="11" t="s">
        <v>395</v>
      </c>
      <c r="I92" s="11" t="s">
        <v>397</v>
      </c>
      <c r="J92" s="12" t="s">
        <v>398</v>
      </c>
    </row>
    <row r="93">
      <c r="A93" s="3">
        <v>10092.0</v>
      </c>
      <c r="B93" s="12" t="s">
        <v>302</v>
      </c>
      <c r="C93" s="12" t="s">
        <v>303</v>
      </c>
      <c r="D93" s="4" t="s">
        <v>399</v>
      </c>
      <c r="E93" s="4" t="b">
        <f t="shared" si="1"/>
        <v>1</v>
      </c>
      <c r="F93" s="3">
        <f>IFERROR(__xludf.DUMMYFUNCTION("IF(COUNTIF($D$2:$D1000, D93)&gt;1, MATCH(D93, UNIQUE(FILTER($D$2:$D1000, COUNTIF($D$2:$D1000, $D$2:$D1000)&gt;1)), 0), """")"),41.0)</f>
        <v>41</v>
      </c>
      <c r="G93" s="11" t="s">
        <v>400</v>
      </c>
      <c r="H93" s="11" t="s">
        <v>399</v>
      </c>
      <c r="I93" s="11" t="s">
        <v>401</v>
      </c>
      <c r="J93" s="12" t="s">
        <v>402</v>
      </c>
    </row>
    <row r="94">
      <c r="A94" s="3">
        <v>10093.0</v>
      </c>
      <c r="B94" s="12" t="s">
        <v>302</v>
      </c>
      <c r="C94" s="12" t="s">
        <v>303</v>
      </c>
      <c r="D94" s="4" t="s">
        <v>403</v>
      </c>
      <c r="E94" s="4" t="b">
        <f t="shared" si="1"/>
        <v>1</v>
      </c>
      <c r="F94" s="3">
        <f>IFERROR(__xludf.DUMMYFUNCTION("IF(COUNTIF($D$2:$D1000, D94)&gt;1, MATCH(D94, UNIQUE(FILTER($D$2:$D1000, COUNTIF($D$2:$D1000, $D$2:$D1000)&gt;1)), 0), """")"),42.0)</f>
        <v>42</v>
      </c>
      <c r="G94" s="11" t="s">
        <v>404</v>
      </c>
      <c r="H94" s="11" t="s">
        <v>405</v>
      </c>
      <c r="I94" s="11" t="s">
        <v>406</v>
      </c>
      <c r="J94" s="12" t="s">
        <v>407</v>
      </c>
    </row>
    <row r="95">
      <c r="A95" s="3">
        <v>10094.0</v>
      </c>
      <c r="B95" s="12" t="s">
        <v>302</v>
      </c>
      <c r="C95" s="12" t="s">
        <v>303</v>
      </c>
      <c r="D95" s="4" t="s">
        <v>321</v>
      </c>
      <c r="E95" s="4" t="b">
        <f t="shared" si="1"/>
        <v>1</v>
      </c>
      <c r="F95" s="3">
        <f>IFERROR(__xludf.DUMMYFUNCTION("IF(COUNTIF($D$2:$D1000, D95)&gt;1, MATCH(D95, UNIQUE(FILTER($D$2:$D1000, COUNTIF($D$2:$D1000, $D$2:$D1000)&gt;1)), 0), """")"),29.0)</f>
        <v>29</v>
      </c>
      <c r="G95" s="11" t="s">
        <v>322</v>
      </c>
      <c r="H95" s="11" t="s">
        <v>321</v>
      </c>
      <c r="I95" s="11" t="s">
        <v>408</v>
      </c>
      <c r="J95" s="12" t="s">
        <v>409</v>
      </c>
    </row>
    <row r="96">
      <c r="A96" s="3">
        <v>10095.0</v>
      </c>
      <c r="B96" s="12" t="s">
        <v>302</v>
      </c>
      <c r="C96" s="12" t="s">
        <v>303</v>
      </c>
      <c r="D96" s="4" t="s">
        <v>410</v>
      </c>
      <c r="E96" s="4" t="b">
        <f t="shared" si="1"/>
        <v>1</v>
      </c>
      <c r="F96" s="3">
        <f>IFERROR(__xludf.DUMMYFUNCTION("IF(COUNTIF($D$2:$D1000, D96)&gt;1, MATCH(D96, UNIQUE(FILTER($D$2:$D1000, COUNTIF($D$2:$D1000, $D$2:$D1000)&gt;1)), 0), """")"),43.0)</f>
        <v>43</v>
      </c>
      <c r="G96" s="11" t="s">
        <v>411</v>
      </c>
      <c r="H96" s="11" t="s">
        <v>410</v>
      </c>
      <c r="I96" s="11" t="s">
        <v>412</v>
      </c>
      <c r="J96" s="12" t="s">
        <v>413</v>
      </c>
    </row>
    <row r="97">
      <c r="A97" s="3">
        <v>10096.0</v>
      </c>
      <c r="B97" s="12" t="s">
        <v>302</v>
      </c>
      <c r="C97" s="12" t="s">
        <v>303</v>
      </c>
      <c r="D97" s="4" t="s">
        <v>45</v>
      </c>
      <c r="E97" s="4" t="b">
        <f t="shared" si="1"/>
        <v>1</v>
      </c>
      <c r="F97" s="3">
        <f>IFERROR(__xludf.DUMMYFUNCTION("IF(COUNTIF($D$2:$D1000, D97)&gt;1, MATCH(D97, UNIQUE(FILTER($D$2:$D1000, COUNTIF($D$2:$D1000, $D$2:$D1000)&gt;1)), 0), """")"),8.0)</f>
        <v>8</v>
      </c>
      <c r="G97" s="11" t="s">
        <v>46</v>
      </c>
      <c r="H97" s="11" t="s">
        <v>47</v>
      </c>
      <c r="I97" s="11" t="s">
        <v>414</v>
      </c>
      <c r="J97" s="12" t="s">
        <v>415</v>
      </c>
    </row>
    <row r="98">
      <c r="A98" s="3">
        <v>10097.0</v>
      </c>
      <c r="B98" s="12" t="s">
        <v>308</v>
      </c>
      <c r="C98" s="12" t="s">
        <v>309</v>
      </c>
      <c r="D98" s="4" t="s">
        <v>416</v>
      </c>
      <c r="E98" s="4" t="b">
        <f t="shared" si="1"/>
        <v>0</v>
      </c>
      <c r="F98" s="3" t="str">
        <f>IFERROR(__xludf.DUMMYFUNCTION("IF(COUNTIF($D$2:$D1000, D98)&gt;1, MATCH(D98, UNIQUE(FILTER($D$2:$D1000, COUNTIF($D$2:$D1000, $D$2:$D1000)&gt;1)), 0), """")"),"")</f>
        <v/>
      </c>
      <c r="G98" s="11" t="s">
        <v>417</v>
      </c>
      <c r="H98" s="11" t="s">
        <v>418</v>
      </c>
      <c r="I98" s="11" t="s">
        <v>419</v>
      </c>
      <c r="J98" s="12" t="s">
        <v>420</v>
      </c>
    </row>
    <row r="99">
      <c r="A99" s="3">
        <v>10098.0</v>
      </c>
      <c r="B99" s="12" t="s">
        <v>308</v>
      </c>
      <c r="C99" s="12" t="s">
        <v>309</v>
      </c>
      <c r="D99" s="4" t="s">
        <v>268</v>
      </c>
      <c r="E99" s="4" t="b">
        <f t="shared" si="1"/>
        <v>1</v>
      </c>
      <c r="F99" s="3">
        <f>IFERROR(__xludf.DUMMYFUNCTION("IF(COUNTIF($D$2:$D1000, D99)&gt;1, MATCH(D99, UNIQUE(FILTER($D$2:$D1000, COUNTIF($D$2:$D1000, $D$2:$D1000)&gt;1)), 0), """")"),24.0)</f>
        <v>24</v>
      </c>
      <c r="G99" s="11" t="s">
        <v>269</v>
      </c>
      <c r="H99" s="11" t="s">
        <v>270</v>
      </c>
      <c r="I99" s="11" t="s">
        <v>421</v>
      </c>
      <c r="J99" s="12" t="s">
        <v>422</v>
      </c>
    </row>
    <row r="100">
      <c r="A100" s="3">
        <v>10099.0</v>
      </c>
      <c r="B100" s="12" t="s">
        <v>308</v>
      </c>
      <c r="C100" s="12" t="s">
        <v>309</v>
      </c>
      <c r="D100" s="4" t="s">
        <v>423</v>
      </c>
      <c r="E100" s="4" t="b">
        <f t="shared" si="1"/>
        <v>1</v>
      </c>
      <c r="F100" s="3">
        <f>IFERROR(__xludf.DUMMYFUNCTION("IF(COUNTIF($D$2:$D1000, D100)&gt;1, MATCH(D100, UNIQUE(FILTER($D$2:$D1000, COUNTIF($D$2:$D1000, $D$2:$D1000)&gt;1)), 0), """")"),44.0)</f>
        <v>44</v>
      </c>
      <c r="G100" s="11" t="s">
        <v>424</v>
      </c>
      <c r="H100" s="11" t="s">
        <v>425</v>
      </c>
      <c r="I100" s="11" t="s">
        <v>426</v>
      </c>
      <c r="J100" s="12" t="s">
        <v>427</v>
      </c>
    </row>
    <row r="101">
      <c r="A101" s="3">
        <v>10100.0</v>
      </c>
      <c r="B101" s="12" t="s">
        <v>308</v>
      </c>
      <c r="C101" s="12" t="s">
        <v>309</v>
      </c>
      <c r="D101" s="4" t="s">
        <v>403</v>
      </c>
      <c r="E101" s="4" t="b">
        <f t="shared" si="1"/>
        <v>1</v>
      </c>
      <c r="F101" s="3">
        <f>IFERROR(__xludf.DUMMYFUNCTION("IF(COUNTIF($D$2:$D1000, D101)&gt;1, MATCH(D101, UNIQUE(FILTER($D$2:$D1000, COUNTIF($D$2:$D1000, $D$2:$D1000)&gt;1)), 0), """")"),42.0)</f>
        <v>42</v>
      </c>
      <c r="G101" s="11" t="s">
        <v>404</v>
      </c>
      <c r="H101" s="11" t="s">
        <v>405</v>
      </c>
      <c r="I101" s="11" t="s">
        <v>428</v>
      </c>
      <c r="J101" s="12" t="s">
        <v>429</v>
      </c>
    </row>
    <row r="102">
      <c r="A102" s="3">
        <v>10101.0</v>
      </c>
      <c r="B102" s="12" t="s">
        <v>308</v>
      </c>
      <c r="C102" s="12" t="s">
        <v>309</v>
      </c>
      <c r="D102" s="4" t="s">
        <v>430</v>
      </c>
      <c r="E102" s="4" t="b">
        <f t="shared" si="1"/>
        <v>1</v>
      </c>
      <c r="F102" s="3">
        <f>IFERROR(__xludf.DUMMYFUNCTION("IF(COUNTIF($D$2:$D1000, D102)&gt;1, MATCH(D102, UNIQUE(FILTER($D$2:$D1000, COUNTIF($D$2:$D1000, $D$2:$D1000)&gt;1)), 0), """")"),45.0)</f>
        <v>45</v>
      </c>
      <c r="G102" s="11" t="s">
        <v>431</v>
      </c>
      <c r="H102" s="11" t="s">
        <v>432</v>
      </c>
      <c r="I102" s="11" t="s">
        <v>433</v>
      </c>
      <c r="J102" s="12" t="s">
        <v>434</v>
      </c>
    </row>
    <row r="103">
      <c r="A103" s="3">
        <v>10102.0</v>
      </c>
      <c r="B103" s="12" t="s">
        <v>308</v>
      </c>
      <c r="C103" s="12" t="s">
        <v>309</v>
      </c>
      <c r="D103" s="4" t="s">
        <v>96</v>
      </c>
      <c r="E103" s="4" t="b">
        <f t="shared" si="1"/>
        <v>1</v>
      </c>
      <c r="F103" s="3">
        <f>IFERROR(__xludf.DUMMYFUNCTION("IF(COUNTIF($D$2:$D1000, D103)&gt;1, MATCH(D103, UNIQUE(FILTER($D$2:$D1000, COUNTIF($D$2:$D1000, $D$2:$D1000)&gt;1)), 0), """")"),14.0)</f>
        <v>14</v>
      </c>
      <c r="G103" s="11" t="s">
        <v>97</v>
      </c>
      <c r="H103" s="11" t="s">
        <v>98</v>
      </c>
      <c r="I103" s="11" t="s">
        <v>435</v>
      </c>
      <c r="J103" s="12" t="s">
        <v>436</v>
      </c>
    </row>
    <row r="104">
      <c r="A104" s="3">
        <v>10103.0</v>
      </c>
      <c r="B104" s="12" t="s">
        <v>308</v>
      </c>
      <c r="C104" s="12" t="s">
        <v>309</v>
      </c>
      <c r="D104" s="4" t="s">
        <v>437</v>
      </c>
      <c r="E104" s="4" t="b">
        <f t="shared" si="1"/>
        <v>0</v>
      </c>
      <c r="F104" s="3" t="str">
        <f>IFERROR(__xludf.DUMMYFUNCTION("IF(COUNTIF($D$2:$D1000, D104)&gt;1, MATCH(D104, UNIQUE(FILTER($D$2:$D1000, COUNTIF($D$2:$D1000, $D$2:$D1000)&gt;1)), 0), """")"),"")</f>
        <v/>
      </c>
      <c r="G104" s="11" t="s">
        <v>438</v>
      </c>
      <c r="H104" s="11" t="s">
        <v>439</v>
      </c>
      <c r="I104" s="11" t="s">
        <v>440</v>
      </c>
      <c r="J104" s="12" t="s">
        <v>441</v>
      </c>
    </row>
    <row r="105">
      <c r="A105" s="3">
        <v>10104.0</v>
      </c>
      <c r="B105" s="12" t="s">
        <v>308</v>
      </c>
      <c r="C105" s="12" t="s">
        <v>309</v>
      </c>
      <c r="D105" s="4" t="s">
        <v>20</v>
      </c>
      <c r="E105" s="4" t="b">
        <f t="shared" si="1"/>
        <v>1</v>
      </c>
      <c r="F105" s="3">
        <f>IFERROR(__xludf.DUMMYFUNCTION("IF(COUNTIF($D$2:$D1000, D105)&gt;1, MATCH(D105, UNIQUE(FILTER($D$2:$D1000, COUNTIF($D$2:$D1000, $D$2:$D1000)&gt;1)), 0), """")"),3.0)</f>
        <v>3</v>
      </c>
      <c r="G105" s="11" t="s">
        <v>21</v>
      </c>
      <c r="H105" s="11" t="s">
        <v>22</v>
      </c>
      <c r="I105" s="11" t="s">
        <v>442</v>
      </c>
      <c r="J105" s="12" t="s">
        <v>443</v>
      </c>
    </row>
    <row r="106">
      <c r="A106" s="3">
        <v>10105.0</v>
      </c>
      <c r="B106" s="12" t="s">
        <v>312</v>
      </c>
      <c r="C106" s="12" t="s">
        <v>313</v>
      </c>
      <c r="D106" s="4" t="s">
        <v>45</v>
      </c>
      <c r="E106" s="4" t="b">
        <f t="shared" si="1"/>
        <v>1</v>
      </c>
      <c r="F106" s="3">
        <f>IFERROR(__xludf.DUMMYFUNCTION("IF(COUNTIF($D$2:$D1000, D106)&gt;1, MATCH(D106, UNIQUE(FILTER($D$2:$D1000, COUNTIF($D$2:$D1000, $D$2:$D1000)&gt;1)), 0), """")"),8.0)</f>
        <v>8</v>
      </c>
      <c r="G106" s="11" t="s">
        <v>46</v>
      </c>
      <c r="H106" s="11" t="s">
        <v>47</v>
      </c>
      <c r="I106" s="11" t="s">
        <v>444</v>
      </c>
      <c r="J106" s="12" t="s">
        <v>445</v>
      </c>
    </row>
    <row r="107">
      <c r="A107" s="3">
        <v>10106.0</v>
      </c>
      <c r="B107" s="12" t="s">
        <v>312</v>
      </c>
      <c r="C107" s="12" t="s">
        <v>313</v>
      </c>
      <c r="D107" s="4" t="s">
        <v>376</v>
      </c>
      <c r="E107" s="4" t="b">
        <f t="shared" si="1"/>
        <v>1</v>
      </c>
      <c r="F107" s="3">
        <f>IFERROR(__xludf.DUMMYFUNCTION("IF(COUNTIF($D$2:$D1000, D107)&gt;1, MATCH(D107, UNIQUE(FILTER($D$2:$D1000, COUNTIF($D$2:$D1000, $D$2:$D1000)&gt;1)), 0), """")"),38.0)</f>
        <v>38</v>
      </c>
      <c r="G107" s="11" t="s">
        <v>377</v>
      </c>
      <c r="H107" s="11" t="s">
        <v>378</v>
      </c>
      <c r="I107" s="11" t="s">
        <v>446</v>
      </c>
      <c r="J107" s="12" t="s">
        <v>447</v>
      </c>
    </row>
    <row r="108">
      <c r="A108" s="3">
        <v>10107.0</v>
      </c>
      <c r="B108" s="12" t="s">
        <v>312</v>
      </c>
      <c r="C108" s="12" t="s">
        <v>313</v>
      </c>
      <c r="D108" s="4" t="s">
        <v>108</v>
      </c>
      <c r="E108" s="4" t="b">
        <f t="shared" si="1"/>
        <v>1</v>
      </c>
      <c r="F108" s="3">
        <f>IFERROR(__xludf.DUMMYFUNCTION("IF(COUNTIF($D$2:$D1000, D108)&gt;1, MATCH(D108, UNIQUE(FILTER($D$2:$D1000, COUNTIF($D$2:$D1000, $D$2:$D1000)&gt;1)), 0), """")"),16.0)</f>
        <v>16</v>
      </c>
      <c r="G108" s="11" t="s">
        <v>109</v>
      </c>
      <c r="H108" s="11" t="s">
        <v>110</v>
      </c>
      <c r="I108" s="11" t="s">
        <v>448</v>
      </c>
      <c r="J108" s="12" t="s">
        <v>449</v>
      </c>
    </row>
    <row r="109">
      <c r="A109" s="3">
        <v>10108.0</v>
      </c>
      <c r="B109" s="12" t="s">
        <v>312</v>
      </c>
      <c r="C109" s="12" t="s">
        <v>313</v>
      </c>
      <c r="D109" s="4" t="s">
        <v>96</v>
      </c>
      <c r="E109" s="4" t="b">
        <f t="shared" si="1"/>
        <v>1</v>
      </c>
      <c r="F109" s="3">
        <f>IFERROR(__xludf.DUMMYFUNCTION("IF(COUNTIF($D$2:$D1000, D109)&gt;1, MATCH(D109, UNIQUE(FILTER($D$2:$D1000, COUNTIF($D$2:$D1000, $D$2:$D1000)&gt;1)), 0), """")"),14.0)</f>
        <v>14</v>
      </c>
      <c r="G109" s="11" t="s">
        <v>97</v>
      </c>
      <c r="H109" s="11" t="s">
        <v>98</v>
      </c>
      <c r="I109" s="11" t="s">
        <v>450</v>
      </c>
      <c r="J109" s="12" t="s">
        <v>451</v>
      </c>
    </row>
    <row r="110">
      <c r="A110" s="3">
        <v>10109.0</v>
      </c>
      <c r="B110" s="12" t="s">
        <v>312</v>
      </c>
      <c r="C110" s="12" t="s">
        <v>313</v>
      </c>
      <c r="D110" s="4" t="s">
        <v>452</v>
      </c>
      <c r="E110" s="4" t="b">
        <f t="shared" si="1"/>
        <v>1</v>
      </c>
      <c r="F110" s="3">
        <f>IFERROR(__xludf.DUMMYFUNCTION("IF(COUNTIF($D$2:$D1000, D110)&gt;1, MATCH(D110, UNIQUE(FILTER($D$2:$D1000, COUNTIF($D$2:$D1000, $D$2:$D1000)&gt;1)), 0), """")"),46.0)</f>
        <v>46</v>
      </c>
      <c r="G110" s="11" t="s">
        <v>453</v>
      </c>
      <c r="H110" s="11" t="s">
        <v>454</v>
      </c>
      <c r="I110" s="11" t="s">
        <v>455</v>
      </c>
      <c r="J110" s="12" t="s">
        <v>456</v>
      </c>
    </row>
    <row r="111">
      <c r="A111" s="3">
        <v>10110.0</v>
      </c>
      <c r="B111" s="12" t="s">
        <v>312</v>
      </c>
      <c r="C111" s="12" t="s">
        <v>313</v>
      </c>
      <c r="D111" s="4" t="s">
        <v>20</v>
      </c>
      <c r="E111" s="4" t="b">
        <f t="shared" si="1"/>
        <v>1</v>
      </c>
      <c r="F111" s="3">
        <f>IFERROR(__xludf.DUMMYFUNCTION("IF(COUNTIF($D$2:$D1000, D111)&gt;1, MATCH(D111, UNIQUE(FILTER($D$2:$D1000, COUNTIF($D$2:$D1000, $D$2:$D1000)&gt;1)), 0), """")"),3.0)</f>
        <v>3</v>
      </c>
      <c r="G111" s="11" t="s">
        <v>21</v>
      </c>
      <c r="H111" s="11" t="s">
        <v>22</v>
      </c>
      <c r="I111" s="11" t="s">
        <v>457</v>
      </c>
      <c r="J111" s="12" t="s">
        <v>458</v>
      </c>
    </row>
    <row r="112">
      <c r="A112" s="3">
        <v>10111.0</v>
      </c>
      <c r="B112" s="12" t="s">
        <v>312</v>
      </c>
      <c r="C112" s="12" t="s">
        <v>313</v>
      </c>
      <c r="D112" s="4" t="s">
        <v>72</v>
      </c>
      <c r="E112" s="4" t="b">
        <f t="shared" si="1"/>
        <v>1</v>
      </c>
      <c r="F112" s="3">
        <f>IFERROR(__xludf.DUMMYFUNCTION("IF(COUNTIF($D$2:$D1000, D112)&gt;1, MATCH(D112, UNIQUE(FILTER($D$2:$D1000, COUNTIF($D$2:$D1000, $D$2:$D1000)&gt;1)), 0), """")"),11.0)</f>
        <v>11</v>
      </c>
      <c r="G112" s="11" t="s">
        <v>73</v>
      </c>
      <c r="H112" s="11" t="s">
        <v>74</v>
      </c>
      <c r="I112" s="11" t="s">
        <v>459</v>
      </c>
      <c r="J112" s="12" t="s">
        <v>460</v>
      </c>
    </row>
    <row r="113">
      <c r="A113" s="3">
        <v>10112.0</v>
      </c>
      <c r="B113" s="12" t="s">
        <v>312</v>
      </c>
      <c r="C113" s="12" t="s">
        <v>313</v>
      </c>
      <c r="D113" s="4" t="s">
        <v>376</v>
      </c>
      <c r="E113" s="4" t="b">
        <f t="shared" si="1"/>
        <v>1</v>
      </c>
      <c r="F113" s="3">
        <f>IFERROR(__xludf.DUMMYFUNCTION("IF(COUNTIF($D$2:$D1000, D113)&gt;1, MATCH(D113, UNIQUE(FILTER($D$2:$D1000, COUNTIF($D$2:$D1000, $D$2:$D1000)&gt;1)), 0), """")"),38.0)</f>
        <v>38</v>
      </c>
      <c r="G113" s="11" t="s">
        <v>377</v>
      </c>
      <c r="H113" s="11" t="s">
        <v>378</v>
      </c>
      <c r="I113" s="11" t="s">
        <v>461</v>
      </c>
      <c r="J113" s="12" t="s">
        <v>462</v>
      </c>
    </row>
    <row r="114">
      <c r="A114" s="3">
        <v>10113.0</v>
      </c>
      <c r="B114" s="12" t="s">
        <v>295</v>
      </c>
      <c r="C114" s="12" t="s">
        <v>296</v>
      </c>
      <c r="D114" s="4" t="s">
        <v>304</v>
      </c>
      <c r="E114" s="4" t="b">
        <f t="shared" si="1"/>
        <v>1</v>
      </c>
      <c r="F114" s="3">
        <f>IFERROR(__xludf.DUMMYFUNCTION("IF(COUNTIF($D$2:$D1000, D114)&gt;1, MATCH(D114, UNIQUE(FILTER($D$2:$D1000, COUNTIF($D$2:$D1000, $D$2:$D1000)&gt;1)), 0), """")"),27.0)</f>
        <v>27</v>
      </c>
      <c r="G114" s="11" t="s">
        <v>305</v>
      </c>
      <c r="H114" s="11" t="s">
        <v>304</v>
      </c>
      <c r="I114" s="11" t="s">
        <v>463</v>
      </c>
      <c r="J114" s="12" t="s">
        <v>464</v>
      </c>
    </row>
    <row r="115">
      <c r="A115" s="3">
        <v>10114.0</v>
      </c>
      <c r="B115" s="12" t="s">
        <v>295</v>
      </c>
      <c r="C115" s="12" t="s">
        <v>296</v>
      </c>
      <c r="D115" s="4" t="s">
        <v>465</v>
      </c>
      <c r="E115" s="4" t="b">
        <f t="shared" si="1"/>
        <v>1</v>
      </c>
      <c r="F115" s="3">
        <f>IFERROR(__xludf.DUMMYFUNCTION("IF(COUNTIF($D$2:$D1000, D115)&gt;1, MATCH(D115, UNIQUE(FILTER($D$2:$D1000, COUNTIF($D$2:$D1000, $D$2:$D1000)&gt;1)), 0), """")"),47.0)</f>
        <v>47</v>
      </c>
      <c r="G115" s="11" t="s">
        <v>466</v>
      </c>
      <c r="H115" s="11" t="s">
        <v>467</v>
      </c>
      <c r="I115" s="11" t="s">
        <v>468</v>
      </c>
      <c r="J115" s="12" t="s">
        <v>469</v>
      </c>
    </row>
    <row r="116">
      <c r="A116" s="3">
        <v>10115.0</v>
      </c>
      <c r="B116" s="12" t="s">
        <v>295</v>
      </c>
      <c r="C116" s="12" t="s">
        <v>296</v>
      </c>
      <c r="D116" s="4" t="s">
        <v>366</v>
      </c>
      <c r="E116" s="4" t="b">
        <f t="shared" si="1"/>
        <v>1</v>
      </c>
      <c r="F116" s="3">
        <f>IFERROR(__xludf.DUMMYFUNCTION("IF(COUNTIF($D$2:$D1000, D116)&gt;1, MATCH(D116, UNIQUE(FILTER($D$2:$D1000, COUNTIF($D$2:$D1000, $D$2:$D1000)&gt;1)), 0), """")"),36.0)</f>
        <v>36</v>
      </c>
      <c r="G116" s="11" t="s">
        <v>367</v>
      </c>
      <c r="H116" s="11" t="s">
        <v>368</v>
      </c>
      <c r="I116" s="11" t="s">
        <v>470</v>
      </c>
      <c r="J116" s="12" t="s">
        <v>471</v>
      </c>
    </row>
    <row r="117">
      <c r="A117" s="3">
        <v>10116.0</v>
      </c>
      <c r="B117" s="12" t="s">
        <v>295</v>
      </c>
      <c r="C117" s="12" t="s">
        <v>296</v>
      </c>
      <c r="D117" s="4" t="s">
        <v>178</v>
      </c>
      <c r="E117" s="4" t="b">
        <f t="shared" si="1"/>
        <v>1</v>
      </c>
      <c r="F117" s="3">
        <f>IFERROR(__xludf.DUMMYFUNCTION("IF(COUNTIF($D$2:$D1000, D117)&gt;1, MATCH(D117, UNIQUE(FILTER($D$2:$D1000, COUNTIF($D$2:$D1000, $D$2:$D1000)&gt;1)), 0), """")"),20.0)</f>
        <v>20</v>
      </c>
      <c r="G117" s="11" t="s">
        <v>179</v>
      </c>
      <c r="H117" s="11" t="s">
        <v>178</v>
      </c>
      <c r="I117" s="11" t="s">
        <v>472</v>
      </c>
      <c r="J117" s="12" t="s">
        <v>473</v>
      </c>
    </row>
    <row r="118">
      <c r="A118" s="3">
        <v>10117.0</v>
      </c>
      <c r="B118" s="12" t="s">
        <v>295</v>
      </c>
      <c r="C118" s="12" t="s">
        <v>296</v>
      </c>
      <c r="D118" s="4" t="s">
        <v>321</v>
      </c>
      <c r="E118" s="4" t="b">
        <f t="shared" si="1"/>
        <v>1</v>
      </c>
      <c r="F118" s="3">
        <f>IFERROR(__xludf.DUMMYFUNCTION("IF(COUNTIF($D$2:$D1000, D118)&gt;1, MATCH(D118, UNIQUE(FILTER($D$2:$D1000, COUNTIF($D$2:$D1000, $D$2:$D1000)&gt;1)), 0), """")"),29.0)</f>
        <v>29</v>
      </c>
      <c r="G118" s="11" t="s">
        <v>322</v>
      </c>
      <c r="H118" s="11" t="s">
        <v>321</v>
      </c>
      <c r="I118" s="11" t="s">
        <v>474</v>
      </c>
      <c r="J118" s="12" t="s">
        <v>475</v>
      </c>
    </row>
    <row r="119">
      <c r="A119" s="3">
        <v>10118.0</v>
      </c>
      <c r="B119" s="12" t="s">
        <v>295</v>
      </c>
      <c r="C119" s="12" t="s">
        <v>296</v>
      </c>
      <c r="D119" s="4" t="s">
        <v>108</v>
      </c>
      <c r="E119" s="4" t="b">
        <f t="shared" si="1"/>
        <v>1</v>
      </c>
      <c r="F119" s="3">
        <f>IFERROR(__xludf.DUMMYFUNCTION("IF(COUNTIF($D$2:$D1000, D119)&gt;1, MATCH(D119, UNIQUE(FILTER($D$2:$D1000, COUNTIF($D$2:$D1000, $D$2:$D1000)&gt;1)), 0), """")"),16.0)</f>
        <v>16</v>
      </c>
      <c r="G119" s="11" t="s">
        <v>109</v>
      </c>
      <c r="H119" s="11" t="s">
        <v>110</v>
      </c>
      <c r="I119" s="11" t="s">
        <v>476</v>
      </c>
      <c r="J119" s="12" t="s">
        <v>477</v>
      </c>
    </row>
    <row r="120">
      <c r="A120" s="3">
        <v>10119.0</v>
      </c>
      <c r="B120" s="12" t="s">
        <v>295</v>
      </c>
      <c r="C120" s="12" t="s">
        <v>296</v>
      </c>
      <c r="D120" s="4" t="s">
        <v>478</v>
      </c>
      <c r="E120" s="4" t="b">
        <f t="shared" si="1"/>
        <v>0</v>
      </c>
      <c r="F120" s="3" t="str">
        <f>IFERROR(__xludf.DUMMYFUNCTION("IF(COUNTIF($D$2:$D1000, D120)&gt;1, MATCH(D120, UNIQUE(FILTER($D$2:$D1000, COUNTIF($D$2:$D1000, $D$2:$D1000)&gt;1)), 0), """")"),"")</f>
        <v/>
      </c>
      <c r="G120" s="11" t="s">
        <v>479</v>
      </c>
      <c r="H120" s="11" t="s">
        <v>478</v>
      </c>
      <c r="I120" s="11" t="s">
        <v>480</v>
      </c>
      <c r="J120" s="12" t="s">
        <v>481</v>
      </c>
    </row>
    <row r="121">
      <c r="A121" s="13">
        <v>10120.0</v>
      </c>
      <c r="B121" s="17" t="s">
        <v>295</v>
      </c>
      <c r="C121" s="17" t="s">
        <v>296</v>
      </c>
      <c r="D121" s="14" t="s">
        <v>15</v>
      </c>
      <c r="E121" s="14" t="b">
        <f t="shared" si="1"/>
        <v>1</v>
      </c>
      <c r="F121" s="13">
        <f>IFERROR(__xludf.DUMMYFUNCTION("IF(COUNTIF($D$2:$D1000, D121)&gt;1, MATCH(D121, UNIQUE(FILTER($D$2:$D1000, COUNTIF($D$2:$D1000, $D$2:$D1000)&gt;1)), 0), """")"),2.0)</f>
        <v>2</v>
      </c>
      <c r="G121" s="25" t="s">
        <v>16</v>
      </c>
      <c r="H121" s="25" t="s">
        <v>17</v>
      </c>
      <c r="I121" s="25" t="s">
        <v>482</v>
      </c>
      <c r="J121" s="17" t="s">
        <v>483</v>
      </c>
    </row>
    <row r="122">
      <c r="A122" s="3">
        <v>10121.0</v>
      </c>
      <c r="B122" s="8" t="s">
        <v>8</v>
      </c>
      <c r="C122" s="8" t="s">
        <v>9</v>
      </c>
      <c r="D122" s="26" t="s">
        <v>484</v>
      </c>
      <c r="E122" s="4" t="b">
        <f t="shared" si="1"/>
        <v>1</v>
      </c>
      <c r="F122" s="3">
        <f>IFERROR(__xludf.DUMMYFUNCTION("IF(COUNTIF($D$2:$D1000, D122)&gt;1, MATCH(D122, UNIQUE(FILTER($D$2:$D1000, COUNTIF($D$2:$D1000, $D$2:$D1000)&gt;1)), 0), """")"),48.0)</f>
        <v>48</v>
      </c>
      <c r="G122" s="8" t="s">
        <v>485</v>
      </c>
      <c r="H122" s="8" t="s">
        <v>484</v>
      </c>
      <c r="I122" s="8" t="s">
        <v>486</v>
      </c>
      <c r="J122" s="8" t="s">
        <v>487</v>
      </c>
    </row>
    <row r="123">
      <c r="A123" s="3">
        <v>10122.0</v>
      </c>
      <c r="B123" s="8" t="s">
        <v>8</v>
      </c>
      <c r="C123" s="8" t="s">
        <v>9</v>
      </c>
      <c r="D123" s="26" t="s">
        <v>327</v>
      </c>
      <c r="E123" s="4" t="b">
        <f t="shared" si="1"/>
        <v>1</v>
      </c>
      <c r="F123" s="3">
        <f>IFERROR(__xludf.DUMMYFUNCTION("IF(COUNTIF($D$2:$D1000, D123)&gt;1, MATCH(D123, UNIQUE(FILTER($D$2:$D1000, COUNTIF($D$2:$D1000, $D$2:$D1000)&gt;1)), 0), """")"),30.0)</f>
        <v>30</v>
      </c>
      <c r="G123" s="8" t="s">
        <v>328</v>
      </c>
      <c r="H123" s="8" t="s">
        <v>327</v>
      </c>
      <c r="I123" s="8" t="s">
        <v>488</v>
      </c>
      <c r="J123" s="8" t="s">
        <v>489</v>
      </c>
    </row>
    <row r="124">
      <c r="A124" s="3">
        <v>10123.0</v>
      </c>
      <c r="B124" s="8" t="s">
        <v>8</v>
      </c>
      <c r="C124" s="8" t="s">
        <v>9</v>
      </c>
      <c r="D124" s="26" t="s">
        <v>290</v>
      </c>
      <c r="E124" s="4" t="b">
        <f t="shared" si="1"/>
        <v>1</v>
      </c>
      <c r="F124" s="3">
        <f>IFERROR(__xludf.DUMMYFUNCTION("IF(COUNTIF($D$2:$D1000, D124)&gt;1, MATCH(D124, UNIQUE(FILTER($D$2:$D1000, COUNTIF($D$2:$D1000, $D$2:$D1000)&gt;1)), 0), """")"),26.0)</f>
        <v>26</v>
      </c>
      <c r="G124" s="8" t="s">
        <v>291</v>
      </c>
      <c r="H124" s="8" t="s">
        <v>292</v>
      </c>
      <c r="I124" s="8" t="s">
        <v>490</v>
      </c>
      <c r="J124" s="8" t="s">
        <v>491</v>
      </c>
    </row>
    <row r="125">
      <c r="A125" s="3">
        <v>10124.0</v>
      </c>
      <c r="B125" s="8" t="s">
        <v>8</v>
      </c>
      <c r="C125" s="8" t="s">
        <v>9</v>
      </c>
      <c r="D125" s="26" t="s">
        <v>52</v>
      </c>
      <c r="E125" s="4" t="b">
        <f t="shared" si="1"/>
        <v>1</v>
      </c>
      <c r="F125" s="3">
        <f>IFERROR(__xludf.DUMMYFUNCTION("IF(COUNTIF($D$2:$D1000, D125)&gt;1, MATCH(D125, UNIQUE(FILTER($D$2:$D1000, COUNTIF($D$2:$D1000, $D$2:$D1000)&gt;1)), 0), """")"),9.0)</f>
        <v>9</v>
      </c>
      <c r="G125" s="8" t="s">
        <v>53</v>
      </c>
      <c r="H125" s="8" t="s">
        <v>54</v>
      </c>
      <c r="I125" s="8" t="s">
        <v>492</v>
      </c>
      <c r="J125" s="8" t="s">
        <v>493</v>
      </c>
    </row>
    <row r="126">
      <c r="A126" s="3">
        <v>10125.0</v>
      </c>
      <c r="B126" s="8" t="s">
        <v>8</v>
      </c>
      <c r="C126" s="8" t="s">
        <v>9</v>
      </c>
      <c r="D126" s="26" t="s">
        <v>494</v>
      </c>
      <c r="E126" s="4" t="b">
        <f t="shared" si="1"/>
        <v>1</v>
      </c>
      <c r="F126" s="3">
        <f>IFERROR(__xludf.DUMMYFUNCTION("IF(COUNTIF($D$2:$D1000, D126)&gt;1, MATCH(D126, UNIQUE(FILTER($D$2:$D1000, COUNTIF($D$2:$D1000, $D$2:$D1000)&gt;1)), 0), """")"),49.0)</f>
        <v>49</v>
      </c>
      <c r="G126" s="8" t="s">
        <v>495</v>
      </c>
      <c r="H126" s="8" t="s">
        <v>496</v>
      </c>
      <c r="I126" s="8" t="s">
        <v>497</v>
      </c>
      <c r="J126" s="8" t="s">
        <v>498</v>
      </c>
    </row>
    <row r="127">
      <c r="A127" s="3">
        <v>10126.0</v>
      </c>
      <c r="B127" s="8" t="s">
        <v>8</v>
      </c>
      <c r="C127" s="8" t="s">
        <v>9</v>
      </c>
      <c r="D127" s="26" t="s">
        <v>235</v>
      </c>
      <c r="E127" s="4" t="b">
        <f t="shared" si="1"/>
        <v>1</v>
      </c>
      <c r="F127" s="3">
        <f>IFERROR(__xludf.DUMMYFUNCTION("IF(COUNTIF($D$2:$D1000, D127)&gt;1, MATCH(D127, UNIQUE(FILTER($D$2:$D1000, COUNTIF($D$2:$D1000, $D$2:$D1000)&gt;1)), 0), """")"),22.0)</f>
        <v>22</v>
      </c>
      <c r="G127" s="8" t="s">
        <v>236</v>
      </c>
      <c r="H127" s="8" t="s">
        <v>237</v>
      </c>
      <c r="I127" s="8" t="s">
        <v>499</v>
      </c>
      <c r="J127" s="8" t="s">
        <v>500</v>
      </c>
    </row>
    <row r="128">
      <c r="A128" s="10">
        <v>10127.0</v>
      </c>
      <c r="B128" s="8" t="s">
        <v>50</v>
      </c>
      <c r="C128" s="8" t="s">
        <v>51</v>
      </c>
      <c r="D128" s="26" t="s">
        <v>501</v>
      </c>
      <c r="E128" s="7" t="b">
        <f t="shared" si="1"/>
        <v>0</v>
      </c>
      <c r="F128" s="10" t="str">
        <f>IFERROR(__xludf.DUMMYFUNCTION("IF(COUNTIF($D$2:$D1000, D128)&gt;1, MATCH(D128, UNIQUE(FILTER($D$2:$D1000, COUNTIF($D$2:$D1000, $D$2:$D1000)&gt;1)), 0), """")"),"")</f>
        <v/>
      </c>
      <c r="G128" s="8" t="s">
        <v>502</v>
      </c>
      <c r="H128" s="8" t="s">
        <v>503</v>
      </c>
      <c r="I128" s="8" t="s">
        <v>504</v>
      </c>
      <c r="J128" s="8" t="s">
        <v>505</v>
      </c>
    </row>
    <row r="129">
      <c r="A129" s="3">
        <v>10128.0</v>
      </c>
      <c r="B129" s="8" t="s">
        <v>8</v>
      </c>
      <c r="C129" s="8" t="s">
        <v>9</v>
      </c>
      <c r="D129" s="26" t="s">
        <v>506</v>
      </c>
      <c r="E129" s="4" t="b">
        <f t="shared" si="1"/>
        <v>1</v>
      </c>
      <c r="F129" s="3">
        <f>IFERROR(__xludf.DUMMYFUNCTION("IF(COUNTIF($D$2:$D1000, D129)&gt;1, MATCH(D129, UNIQUE(FILTER($D$2:$D1000, COUNTIF($D$2:$D1000, $D$2:$D1000)&gt;1)), 0), """")"),50.0)</f>
        <v>50</v>
      </c>
      <c r="G129" s="8" t="s">
        <v>507</v>
      </c>
      <c r="H129" s="8" t="s">
        <v>508</v>
      </c>
      <c r="I129" s="8" t="s">
        <v>509</v>
      </c>
      <c r="J129" s="8" t="s">
        <v>510</v>
      </c>
    </row>
    <row r="130">
      <c r="A130" s="3">
        <v>10129.0</v>
      </c>
      <c r="B130" s="8" t="s">
        <v>8</v>
      </c>
      <c r="C130" s="8" t="s">
        <v>9</v>
      </c>
      <c r="D130" s="26" t="s">
        <v>263</v>
      </c>
      <c r="E130" s="4" t="b">
        <f t="shared" si="1"/>
        <v>1</v>
      </c>
      <c r="F130" s="3">
        <f>IFERROR(__xludf.DUMMYFUNCTION("IF(COUNTIF($D$2:$D1000, D130)&gt;1, MATCH(D130, UNIQUE(FILTER($D$2:$D1000, COUNTIF($D$2:$D1000, $D$2:$D1000)&gt;1)), 0), """")"),23.0)</f>
        <v>23</v>
      </c>
      <c r="G130" s="8" t="s">
        <v>264</v>
      </c>
      <c r="H130" s="8" t="s">
        <v>265</v>
      </c>
      <c r="I130" s="8" t="s">
        <v>511</v>
      </c>
      <c r="J130" s="8" t="s">
        <v>512</v>
      </c>
    </row>
    <row r="131">
      <c r="A131" s="3">
        <v>10130.0</v>
      </c>
      <c r="B131" s="8" t="s">
        <v>8</v>
      </c>
      <c r="C131" s="8" t="s">
        <v>9</v>
      </c>
      <c r="D131" s="26" t="s">
        <v>513</v>
      </c>
      <c r="E131" s="4" t="b">
        <f t="shared" si="1"/>
        <v>1</v>
      </c>
      <c r="F131" s="3">
        <f>IFERROR(__xludf.DUMMYFUNCTION("IF(COUNTIF($D$2:$D1000, D131)&gt;1, MATCH(D131, UNIQUE(FILTER($D$2:$D1000, COUNTIF($D$2:$D1000, $D$2:$D1000)&gt;1)), 0), """")"),51.0)</f>
        <v>51</v>
      </c>
      <c r="G131" s="8" t="s">
        <v>514</v>
      </c>
      <c r="H131" s="8" t="s">
        <v>515</v>
      </c>
      <c r="I131" s="8" t="s">
        <v>516</v>
      </c>
      <c r="J131" s="8" t="s">
        <v>517</v>
      </c>
    </row>
    <row r="132">
      <c r="A132" s="3">
        <v>10131.0</v>
      </c>
      <c r="B132" s="8" t="s">
        <v>8</v>
      </c>
      <c r="C132" s="8" t="s">
        <v>9</v>
      </c>
      <c r="D132" s="26" t="s">
        <v>518</v>
      </c>
      <c r="E132" s="4" t="b">
        <f t="shared" si="1"/>
        <v>0</v>
      </c>
      <c r="F132" s="3" t="str">
        <f>IFERROR(__xludf.DUMMYFUNCTION("IF(COUNTIF($D$2:$D1000, D132)&gt;1, MATCH(D132, UNIQUE(FILTER($D$2:$D1000, COUNTIF($D$2:$D1000, $D$2:$D1000)&gt;1)), 0), """")"),"")</f>
        <v/>
      </c>
      <c r="G132" s="8" t="s">
        <v>519</v>
      </c>
      <c r="H132" s="8" t="s">
        <v>520</v>
      </c>
      <c r="I132" s="8" t="s">
        <v>521</v>
      </c>
      <c r="J132" s="8" t="s">
        <v>522</v>
      </c>
    </row>
    <row r="133">
      <c r="A133" s="3">
        <v>10132.0</v>
      </c>
      <c r="B133" s="8" t="s">
        <v>8</v>
      </c>
      <c r="C133" s="8" t="s">
        <v>9</v>
      </c>
      <c r="D133" s="26" t="s">
        <v>523</v>
      </c>
      <c r="E133" s="4" t="b">
        <f t="shared" si="1"/>
        <v>1</v>
      </c>
      <c r="F133" s="3">
        <f>IFERROR(__xludf.DUMMYFUNCTION("IF(COUNTIF($D$2:$D1000, D133)&gt;1, MATCH(D133, UNIQUE(FILTER($D$2:$D1000, COUNTIF($D$2:$D1000, $D$2:$D1000)&gt;1)), 0), """")"),52.0)</f>
        <v>52</v>
      </c>
      <c r="G133" s="8" t="s">
        <v>524</v>
      </c>
      <c r="H133" s="8" t="s">
        <v>525</v>
      </c>
      <c r="I133" s="8" t="s">
        <v>526</v>
      </c>
      <c r="J133" s="8" t="s">
        <v>527</v>
      </c>
    </row>
    <row r="134">
      <c r="A134" s="3">
        <v>10133.0</v>
      </c>
      <c r="B134" s="8" t="s">
        <v>8</v>
      </c>
      <c r="C134" s="8" t="s">
        <v>9</v>
      </c>
      <c r="D134" s="26" t="s">
        <v>528</v>
      </c>
      <c r="E134" s="4" t="b">
        <f t="shared" si="1"/>
        <v>0</v>
      </c>
      <c r="F134" s="3" t="str">
        <f>IFERROR(__xludf.DUMMYFUNCTION("IF(COUNTIF($D$2:$D1000, D134)&gt;1, MATCH(D134, UNIQUE(FILTER($D$2:$D1000, COUNTIF($D$2:$D1000, $D$2:$D1000)&gt;1)), 0), """")"),"")</f>
        <v/>
      </c>
      <c r="G134" s="8" t="s">
        <v>529</v>
      </c>
      <c r="H134" s="8" t="s">
        <v>530</v>
      </c>
      <c r="I134" s="8" t="s">
        <v>531</v>
      </c>
      <c r="J134" s="8" t="s">
        <v>532</v>
      </c>
    </row>
    <row r="135">
      <c r="A135" s="3">
        <v>10134.0</v>
      </c>
      <c r="B135" s="8" t="s">
        <v>8</v>
      </c>
      <c r="C135" s="8" t="s">
        <v>9</v>
      </c>
      <c r="D135" s="26" t="s">
        <v>533</v>
      </c>
      <c r="E135" s="4" t="b">
        <f t="shared" si="1"/>
        <v>1</v>
      </c>
      <c r="F135" s="3">
        <f>IFERROR(__xludf.DUMMYFUNCTION("IF(COUNTIF($D$2:$D1000, D135)&gt;1, MATCH(D135, UNIQUE(FILTER($D$2:$D1000, COUNTIF($D$2:$D1000, $D$2:$D1000)&gt;1)), 0), """")"),53.0)</f>
        <v>53</v>
      </c>
      <c r="G135" s="8" t="s">
        <v>534</v>
      </c>
      <c r="H135" s="8" t="s">
        <v>533</v>
      </c>
      <c r="I135" s="8" t="s">
        <v>535</v>
      </c>
      <c r="J135" s="8" t="s">
        <v>536</v>
      </c>
    </row>
    <row r="136">
      <c r="A136" s="3">
        <v>10135.0</v>
      </c>
      <c r="B136" s="8" t="s">
        <v>8</v>
      </c>
      <c r="C136" s="8" t="s">
        <v>9</v>
      </c>
      <c r="D136" s="26" t="s">
        <v>537</v>
      </c>
      <c r="E136" s="4" t="b">
        <f t="shared" si="1"/>
        <v>1</v>
      </c>
      <c r="F136" s="3">
        <f>IFERROR(__xludf.DUMMYFUNCTION("IF(COUNTIF($D$2:$D1000, D136)&gt;1, MATCH(D136, UNIQUE(FILTER($D$2:$D1000, COUNTIF($D$2:$D1000, $D$2:$D1000)&gt;1)), 0), """")"),54.0)</f>
        <v>54</v>
      </c>
      <c r="G136" s="8" t="s">
        <v>538</v>
      </c>
      <c r="H136" s="8" t="s">
        <v>539</v>
      </c>
      <c r="I136" s="8" t="s">
        <v>540</v>
      </c>
      <c r="J136" s="8" t="s">
        <v>541</v>
      </c>
    </row>
    <row r="137">
      <c r="A137" s="3">
        <v>10136.0</v>
      </c>
      <c r="B137" s="8" t="s">
        <v>8</v>
      </c>
      <c r="C137" s="8" t="s">
        <v>9</v>
      </c>
      <c r="D137" s="26" t="s">
        <v>542</v>
      </c>
      <c r="E137" s="4" t="b">
        <f t="shared" si="1"/>
        <v>1</v>
      </c>
      <c r="F137" s="3">
        <f>IFERROR(__xludf.DUMMYFUNCTION("IF(COUNTIF($D$2:$D1000, D137)&gt;1, MATCH(D137, UNIQUE(FILTER($D$2:$D1000, COUNTIF($D$2:$D1000, $D$2:$D1000)&gt;1)), 0), """")"),55.0)</f>
        <v>55</v>
      </c>
      <c r="G137" s="8" t="s">
        <v>543</v>
      </c>
      <c r="H137" s="8" t="s">
        <v>544</v>
      </c>
      <c r="I137" s="8" t="s">
        <v>545</v>
      </c>
      <c r="J137" s="8" t="s">
        <v>546</v>
      </c>
    </row>
    <row r="138">
      <c r="A138" s="3">
        <v>10137.0</v>
      </c>
      <c r="B138" s="8" t="s">
        <v>8</v>
      </c>
      <c r="C138" s="8" t="s">
        <v>9</v>
      </c>
      <c r="D138" s="26" t="s">
        <v>547</v>
      </c>
      <c r="E138" s="4" t="b">
        <f t="shared" si="1"/>
        <v>1</v>
      </c>
      <c r="F138" s="3">
        <f>IFERROR(__xludf.DUMMYFUNCTION("IF(COUNTIF($D$2:$D1000, D138)&gt;1, MATCH(D138, UNIQUE(FILTER($D$2:$D1000, COUNTIF($D$2:$D1000, $D$2:$D1000)&gt;1)), 0), """")"),56.0)</f>
        <v>56</v>
      </c>
      <c r="G138" s="8" t="s">
        <v>548</v>
      </c>
      <c r="H138" s="8" t="s">
        <v>549</v>
      </c>
      <c r="I138" s="8" t="s">
        <v>550</v>
      </c>
      <c r="J138" s="8" t="s">
        <v>551</v>
      </c>
    </row>
    <row r="139">
      <c r="A139" s="3">
        <v>10138.0</v>
      </c>
      <c r="B139" s="8" t="s">
        <v>50</v>
      </c>
      <c r="C139" s="8" t="s">
        <v>51</v>
      </c>
      <c r="D139" s="26" t="s">
        <v>552</v>
      </c>
      <c r="E139" s="4" t="b">
        <f t="shared" si="1"/>
        <v>1</v>
      </c>
      <c r="F139" s="3">
        <f>IFERROR(__xludf.DUMMYFUNCTION("IF(COUNTIF($D$2:$D1000, D139)&gt;1, MATCH(D139, UNIQUE(FILTER($D$2:$D1000, COUNTIF($D$2:$D1000, $D$2:$D1000)&gt;1)), 0), """")"),57.0)</f>
        <v>57</v>
      </c>
      <c r="G139" s="8" t="s">
        <v>553</v>
      </c>
      <c r="H139" s="8" t="s">
        <v>554</v>
      </c>
      <c r="I139" s="8" t="s">
        <v>555</v>
      </c>
      <c r="J139" s="8" t="s">
        <v>556</v>
      </c>
    </row>
    <row r="140">
      <c r="A140" s="3">
        <v>10139.0</v>
      </c>
      <c r="B140" s="8" t="s">
        <v>50</v>
      </c>
      <c r="C140" s="8" t="s">
        <v>51</v>
      </c>
      <c r="D140" s="26" t="s">
        <v>347</v>
      </c>
      <c r="E140" s="4" t="b">
        <f t="shared" si="1"/>
        <v>1</v>
      </c>
      <c r="F140" s="3">
        <f>IFERROR(__xludf.DUMMYFUNCTION("IF(COUNTIF($D$2:$D1000, D140)&gt;1, MATCH(D140, UNIQUE(FILTER($D$2:$D1000, COUNTIF($D$2:$D1000, $D$2:$D1000)&gt;1)), 0), """")"),34.0)</f>
        <v>34</v>
      </c>
      <c r="G140" s="11" t="s">
        <v>348</v>
      </c>
      <c r="H140" s="12" t="s">
        <v>349</v>
      </c>
      <c r="I140" s="8" t="s">
        <v>557</v>
      </c>
      <c r="J140" s="8" t="s">
        <v>558</v>
      </c>
    </row>
    <row r="141">
      <c r="A141" s="3">
        <v>10140.0</v>
      </c>
      <c r="B141" s="8" t="s">
        <v>50</v>
      </c>
      <c r="C141" s="8" t="s">
        <v>51</v>
      </c>
      <c r="D141" s="26" t="s">
        <v>559</v>
      </c>
      <c r="E141" s="4" t="b">
        <f t="shared" si="1"/>
        <v>1</v>
      </c>
      <c r="F141" s="3">
        <f>IFERROR(__xludf.DUMMYFUNCTION("IF(COUNTIF($D$2:$D1000, D141)&gt;1, MATCH(D141, UNIQUE(FILTER($D$2:$D1000, COUNTIF($D$2:$D1000, $D$2:$D1000)&gt;1)), 0), """")"),58.0)</f>
        <v>58</v>
      </c>
      <c r="G141" s="8" t="s">
        <v>560</v>
      </c>
      <c r="H141" s="8" t="s">
        <v>561</v>
      </c>
      <c r="I141" s="8" t="s">
        <v>562</v>
      </c>
      <c r="J141" s="8" t="s">
        <v>563</v>
      </c>
    </row>
    <row r="142">
      <c r="A142" s="3">
        <v>10141.0</v>
      </c>
      <c r="B142" s="8" t="s">
        <v>50</v>
      </c>
      <c r="C142" s="8" t="s">
        <v>51</v>
      </c>
      <c r="D142" s="26" t="s">
        <v>564</v>
      </c>
      <c r="E142" s="4" t="b">
        <f t="shared" si="1"/>
        <v>1</v>
      </c>
      <c r="F142" s="3">
        <f>IFERROR(__xludf.DUMMYFUNCTION("IF(COUNTIF($D$2:$D1000, D142)&gt;1, MATCH(D142, UNIQUE(FILTER($D$2:$D1000, COUNTIF($D$2:$D1000, $D$2:$D1000)&gt;1)), 0), """")"),59.0)</f>
        <v>59</v>
      </c>
      <c r="G142" s="8" t="s">
        <v>565</v>
      </c>
      <c r="H142" s="8" t="s">
        <v>566</v>
      </c>
      <c r="I142" s="8" t="s">
        <v>567</v>
      </c>
      <c r="J142" s="8" t="s">
        <v>568</v>
      </c>
    </row>
    <row r="143">
      <c r="A143" s="3">
        <v>10142.0</v>
      </c>
      <c r="B143" s="8" t="s">
        <v>50</v>
      </c>
      <c r="C143" s="8" t="s">
        <v>51</v>
      </c>
      <c r="D143" s="26" t="s">
        <v>569</v>
      </c>
      <c r="E143" s="4" t="b">
        <f t="shared" si="1"/>
        <v>1</v>
      </c>
      <c r="F143" s="3">
        <f>IFERROR(__xludf.DUMMYFUNCTION("IF(COUNTIF($D$2:$D1000, D143)&gt;1, MATCH(D143, UNIQUE(FILTER($D$2:$D1000, COUNTIF($D$2:$D1000, $D$2:$D1000)&gt;1)), 0), """")"),60.0)</f>
        <v>60</v>
      </c>
      <c r="G143" s="8" t="s">
        <v>570</v>
      </c>
      <c r="H143" s="8" t="s">
        <v>571</v>
      </c>
      <c r="I143" s="8" t="s">
        <v>572</v>
      </c>
      <c r="J143" s="8" t="s">
        <v>573</v>
      </c>
    </row>
    <row r="144">
      <c r="A144" s="3">
        <v>10143.0</v>
      </c>
      <c r="B144" s="8" t="s">
        <v>50</v>
      </c>
      <c r="C144" s="8" t="s">
        <v>51</v>
      </c>
      <c r="D144" s="26" t="s">
        <v>574</v>
      </c>
      <c r="E144" s="4" t="b">
        <f t="shared" si="1"/>
        <v>1</v>
      </c>
      <c r="F144" s="3">
        <f>IFERROR(__xludf.DUMMYFUNCTION("IF(COUNTIF($D$2:$D1000, D144)&gt;1, MATCH(D144, UNIQUE(FILTER($D$2:$D1000, COUNTIF($D$2:$D1000, $D$2:$D1000)&gt;1)), 0), """")"),61.0)</f>
        <v>61</v>
      </c>
      <c r="G144" s="8" t="s">
        <v>575</v>
      </c>
      <c r="H144" s="8" t="s">
        <v>576</v>
      </c>
      <c r="I144" s="8" t="s">
        <v>577</v>
      </c>
      <c r="J144" s="8" t="s">
        <v>578</v>
      </c>
    </row>
    <row r="145">
      <c r="A145" s="3">
        <v>10144.0</v>
      </c>
      <c r="B145" s="8" t="s">
        <v>50</v>
      </c>
      <c r="C145" s="8" t="s">
        <v>51</v>
      </c>
      <c r="D145" s="26" t="s">
        <v>579</v>
      </c>
      <c r="E145" s="4" t="b">
        <f t="shared" si="1"/>
        <v>1</v>
      </c>
      <c r="F145" s="3">
        <f>IFERROR(__xludf.DUMMYFUNCTION("IF(COUNTIF($D$2:$D1000, D145)&gt;1, MATCH(D145, UNIQUE(FILTER($D$2:$D1000, COUNTIF($D$2:$D1000, $D$2:$D1000)&gt;1)), 0), """")"),62.0)</f>
        <v>62</v>
      </c>
      <c r="G145" s="8" t="s">
        <v>580</v>
      </c>
      <c r="H145" s="8" t="s">
        <v>581</v>
      </c>
      <c r="I145" s="8" t="s">
        <v>582</v>
      </c>
      <c r="J145" s="8" t="s">
        <v>583</v>
      </c>
    </row>
    <row r="146">
      <c r="A146" s="3">
        <v>10145.0</v>
      </c>
      <c r="B146" s="8" t="s">
        <v>50</v>
      </c>
      <c r="C146" s="8" t="s">
        <v>51</v>
      </c>
      <c r="D146" s="26" t="s">
        <v>331</v>
      </c>
      <c r="E146" s="4" t="b">
        <f t="shared" si="1"/>
        <v>1</v>
      </c>
      <c r="F146" s="3">
        <f>IFERROR(__xludf.DUMMYFUNCTION("IF(COUNTIF($D$2:$D1000, D146)&gt;1, MATCH(D146, UNIQUE(FILTER($D$2:$D1000, COUNTIF($D$2:$D1000, $D$2:$D1000)&gt;1)), 0), """")"),31.0)</f>
        <v>31</v>
      </c>
      <c r="G146" s="8" t="s">
        <v>332</v>
      </c>
      <c r="H146" s="8" t="s">
        <v>331</v>
      </c>
      <c r="I146" s="8" t="s">
        <v>584</v>
      </c>
      <c r="J146" s="8" t="s">
        <v>585</v>
      </c>
    </row>
    <row r="147">
      <c r="A147" s="3">
        <v>10146.0</v>
      </c>
      <c r="B147" s="8" t="s">
        <v>50</v>
      </c>
      <c r="C147" s="8" t="s">
        <v>51</v>
      </c>
      <c r="D147" s="26" t="s">
        <v>586</v>
      </c>
      <c r="E147" s="4" t="b">
        <f t="shared" si="1"/>
        <v>0</v>
      </c>
      <c r="F147" s="3" t="str">
        <f>IFERROR(__xludf.DUMMYFUNCTION("IF(COUNTIF($D$2:$D1000, D147)&gt;1, MATCH(D147, UNIQUE(FILTER($D$2:$D1000, COUNTIF($D$2:$D1000, $D$2:$D1000)&gt;1)), 0), """")"),"")</f>
        <v/>
      </c>
      <c r="G147" s="8" t="s">
        <v>587</v>
      </c>
      <c r="H147" s="8" t="s">
        <v>586</v>
      </c>
      <c r="I147" s="8" t="s">
        <v>588</v>
      </c>
      <c r="J147" s="8" t="s">
        <v>589</v>
      </c>
    </row>
    <row r="148">
      <c r="A148" s="3">
        <v>10147.0</v>
      </c>
      <c r="B148" s="8" t="s">
        <v>50</v>
      </c>
      <c r="C148" s="8" t="s">
        <v>51</v>
      </c>
      <c r="D148" s="26" t="s">
        <v>342</v>
      </c>
      <c r="E148" s="4" t="b">
        <f t="shared" si="1"/>
        <v>1</v>
      </c>
      <c r="F148" s="3">
        <f>IFERROR(__xludf.DUMMYFUNCTION("IF(COUNTIF($D$2:$D1000, D148)&gt;1, MATCH(D148, UNIQUE(FILTER($D$2:$D1000, COUNTIF($D$2:$D1000, $D$2:$D1000)&gt;1)), 0), """")"),33.0)</f>
        <v>33</v>
      </c>
      <c r="G148" s="8" t="s">
        <v>343</v>
      </c>
      <c r="H148" s="8" t="s">
        <v>344</v>
      </c>
      <c r="I148" s="8" t="s">
        <v>590</v>
      </c>
      <c r="J148" s="8" t="s">
        <v>591</v>
      </c>
    </row>
    <row r="149">
      <c r="A149" s="3">
        <v>10148.0</v>
      </c>
      <c r="B149" s="8" t="s">
        <v>50</v>
      </c>
      <c r="C149" s="8" t="s">
        <v>51</v>
      </c>
      <c r="D149" s="26" t="s">
        <v>592</v>
      </c>
      <c r="E149" s="4" t="b">
        <f t="shared" si="1"/>
        <v>1</v>
      </c>
      <c r="F149" s="3">
        <f>IFERROR(__xludf.DUMMYFUNCTION("IF(COUNTIF($D$2:$D1000, D149)&gt;1, MATCH(D149, UNIQUE(FILTER($D$2:$D1000, COUNTIF($D$2:$D1000, $D$2:$D1000)&gt;1)), 0), """")"),63.0)</f>
        <v>63</v>
      </c>
      <c r="G149" s="8" t="s">
        <v>593</v>
      </c>
      <c r="H149" s="8" t="s">
        <v>594</v>
      </c>
      <c r="I149" s="8" t="s">
        <v>595</v>
      </c>
      <c r="J149" s="8" t="s">
        <v>596</v>
      </c>
    </row>
    <row r="150">
      <c r="A150" s="3">
        <v>10149.0</v>
      </c>
      <c r="B150" s="8" t="s">
        <v>50</v>
      </c>
      <c r="C150" s="8" t="s">
        <v>51</v>
      </c>
      <c r="D150" s="26" t="s">
        <v>597</v>
      </c>
      <c r="E150" s="4" t="b">
        <f t="shared" si="1"/>
        <v>0</v>
      </c>
      <c r="F150" s="3" t="str">
        <f>IFERROR(__xludf.DUMMYFUNCTION("IF(COUNTIF($D$2:$D1000, D150)&gt;1, MATCH(D150, UNIQUE(FILTER($D$2:$D1000, COUNTIF($D$2:$D1000, $D$2:$D1000)&gt;1)), 0), """")"),"")</f>
        <v/>
      </c>
      <c r="G150" s="8" t="s">
        <v>598</v>
      </c>
      <c r="H150" s="8" t="s">
        <v>599</v>
      </c>
      <c r="I150" s="8" t="s">
        <v>600</v>
      </c>
      <c r="J150" s="8" t="s">
        <v>601</v>
      </c>
    </row>
    <row r="151">
      <c r="A151" s="3">
        <v>10150.0</v>
      </c>
      <c r="B151" s="8" t="s">
        <v>50</v>
      </c>
      <c r="C151" s="8" t="s">
        <v>51</v>
      </c>
      <c r="D151" s="26" t="s">
        <v>602</v>
      </c>
      <c r="E151" s="4" t="b">
        <f t="shared" si="1"/>
        <v>0</v>
      </c>
      <c r="F151" s="3" t="str">
        <f>IFERROR(__xludf.DUMMYFUNCTION("IF(COUNTIF($D$2:$D1000, D151)&gt;1, MATCH(D151, UNIQUE(FILTER($D$2:$D1000, COUNTIF($D$2:$D1000, $D$2:$D1000)&gt;1)), 0), """")"),"")</f>
        <v/>
      </c>
      <c r="G151" s="8" t="s">
        <v>603</v>
      </c>
      <c r="H151" s="8" t="s">
        <v>604</v>
      </c>
      <c r="I151" s="8" t="s">
        <v>605</v>
      </c>
      <c r="J151" s="8" t="s">
        <v>606</v>
      </c>
    </row>
    <row r="152">
      <c r="A152" s="3">
        <v>10151.0</v>
      </c>
      <c r="B152" s="8" t="s">
        <v>50</v>
      </c>
      <c r="C152" s="8" t="s">
        <v>51</v>
      </c>
      <c r="D152" s="26" t="s">
        <v>607</v>
      </c>
      <c r="E152" s="4" t="b">
        <f t="shared" si="1"/>
        <v>0</v>
      </c>
      <c r="F152" s="3" t="str">
        <f>IFERROR(__xludf.DUMMYFUNCTION("IF(COUNTIF($D$2:$D1000, D152)&gt;1, MATCH(D152, UNIQUE(FILTER($D$2:$D1000, COUNTIF($D$2:$D1000, $D$2:$D1000)&gt;1)), 0), """")"),"")</f>
        <v/>
      </c>
      <c r="G152" s="8" t="s">
        <v>608</v>
      </c>
      <c r="H152" s="8" t="s">
        <v>609</v>
      </c>
      <c r="I152" s="8" t="s">
        <v>610</v>
      </c>
      <c r="J152" s="8" t="s">
        <v>611</v>
      </c>
    </row>
    <row r="153">
      <c r="A153" s="3">
        <v>10152.0</v>
      </c>
      <c r="B153" s="8" t="s">
        <v>50</v>
      </c>
      <c r="C153" s="8" t="s">
        <v>51</v>
      </c>
      <c r="D153" s="26" t="s">
        <v>359</v>
      </c>
      <c r="E153" s="4" t="b">
        <f t="shared" si="1"/>
        <v>1</v>
      </c>
      <c r="F153" s="3">
        <f>IFERROR(__xludf.DUMMYFUNCTION("IF(COUNTIF($D$2:$D1000, D153)&gt;1, MATCH(D153, UNIQUE(FILTER($D$2:$D1000, COUNTIF($D$2:$D1000, $D$2:$D1000)&gt;1)), 0), """")"),35.0)</f>
        <v>35</v>
      </c>
      <c r="G153" s="8" t="s">
        <v>360</v>
      </c>
      <c r="H153" s="8" t="s">
        <v>361</v>
      </c>
      <c r="I153" s="8" t="s">
        <v>612</v>
      </c>
      <c r="J153" s="8" t="s">
        <v>613</v>
      </c>
    </row>
    <row r="154">
      <c r="A154" s="3">
        <v>10153.0</v>
      </c>
      <c r="B154" s="8" t="s">
        <v>50</v>
      </c>
      <c r="C154" s="8" t="s">
        <v>51</v>
      </c>
      <c r="D154" s="26" t="s">
        <v>513</v>
      </c>
      <c r="E154" s="4" t="b">
        <f t="shared" si="1"/>
        <v>1</v>
      </c>
      <c r="F154" s="3">
        <f>IFERROR(__xludf.DUMMYFUNCTION("IF(COUNTIF($D$2:$D1000, D154)&gt;1, MATCH(D154, UNIQUE(FILTER($D$2:$D1000, COUNTIF($D$2:$D1000, $D$2:$D1000)&gt;1)), 0), """")"),51.0)</f>
        <v>51</v>
      </c>
      <c r="G154" s="8" t="s">
        <v>514</v>
      </c>
      <c r="H154" s="8" t="s">
        <v>515</v>
      </c>
      <c r="I154" s="8" t="s">
        <v>614</v>
      </c>
      <c r="J154" s="8" t="s">
        <v>615</v>
      </c>
    </row>
    <row r="155">
      <c r="A155" s="3">
        <v>10154.0</v>
      </c>
      <c r="B155" s="8" t="s">
        <v>50</v>
      </c>
      <c r="C155" s="8" t="s">
        <v>51</v>
      </c>
      <c r="D155" s="26" t="s">
        <v>616</v>
      </c>
      <c r="E155" s="4" t="b">
        <f t="shared" si="1"/>
        <v>1</v>
      </c>
      <c r="F155" s="3">
        <f>IFERROR(__xludf.DUMMYFUNCTION("IF(COUNTIF($D$2:$D1000, D155)&gt;1, MATCH(D155, UNIQUE(FILTER($D$2:$D1000, COUNTIF($D$2:$D1000, $D$2:$D1000)&gt;1)), 0), """")"),64.0)</f>
        <v>64</v>
      </c>
      <c r="G155" s="8" t="s">
        <v>617</v>
      </c>
      <c r="H155" s="8" t="s">
        <v>618</v>
      </c>
      <c r="I155" s="8" t="s">
        <v>619</v>
      </c>
      <c r="J155" s="8" t="s">
        <v>620</v>
      </c>
    </row>
    <row r="156">
      <c r="A156" s="3">
        <v>10155.0</v>
      </c>
      <c r="B156" s="8" t="s">
        <v>302</v>
      </c>
      <c r="C156" s="8" t="s">
        <v>303</v>
      </c>
      <c r="D156" s="26" t="s">
        <v>621</v>
      </c>
      <c r="E156" s="4" t="b">
        <f t="shared" si="1"/>
        <v>0</v>
      </c>
      <c r="F156" s="3" t="str">
        <f>IFERROR(__xludf.DUMMYFUNCTION("IF(COUNTIF($D$2:$D1000, D156)&gt;1, MATCH(D156, UNIQUE(FILTER($D$2:$D1000, COUNTIF($D$2:$D1000, $D$2:$D1000)&gt;1)), 0), """")"),"")</f>
        <v/>
      </c>
      <c r="G156" s="8" t="s">
        <v>622</v>
      </c>
      <c r="H156" s="8" t="s">
        <v>623</v>
      </c>
      <c r="I156" s="8" t="s">
        <v>624</v>
      </c>
      <c r="J156" s="8" t="s">
        <v>625</v>
      </c>
    </row>
    <row r="157">
      <c r="A157" s="3">
        <v>10156.0</v>
      </c>
      <c r="B157" s="8" t="s">
        <v>302</v>
      </c>
      <c r="C157" s="8" t="s">
        <v>303</v>
      </c>
      <c r="D157" s="26" t="s">
        <v>304</v>
      </c>
      <c r="E157" s="4" t="b">
        <f t="shared" si="1"/>
        <v>1</v>
      </c>
      <c r="F157" s="3">
        <f>IFERROR(__xludf.DUMMYFUNCTION("IF(COUNTIF($D$2:$D1000, D157)&gt;1, MATCH(D157, UNIQUE(FILTER($D$2:$D1000, COUNTIF($D$2:$D1000, $D$2:$D1000)&gt;1)), 0), """")"),27.0)</f>
        <v>27</v>
      </c>
      <c r="G157" s="8" t="s">
        <v>305</v>
      </c>
      <c r="H157" s="8" t="s">
        <v>304</v>
      </c>
      <c r="I157" s="8" t="s">
        <v>626</v>
      </c>
      <c r="J157" s="8" t="s">
        <v>627</v>
      </c>
    </row>
    <row r="158">
      <c r="A158" s="3">
        <v>10157.0</v>
      </c>
      <c r="B158" s="8" t="s">
        <v>302</v>
      </c>
      <c r="C158" s="8" t="s">
        <v>303</v>
      </c>
      <c r="D158" s="26" t="s">
        <v>628</v>
      </c>
      <c r="E158" s="4" t="b">
        <f t="shared" si="1"/>
        <v>1</v>
      </c>
      <c r="F158" s="3">
        <f>IFERROR(__xludf.DUMMYFUNCTION("IF(COUNTIF($D$2:$D1000, D158)&gt;1, MATCH(D158, UNIQUE(FILTER($D$2:$D1000, COUNTIF($D$2:$D1000, $D$2:$D1000)&gt;1)), 0), """")"),65.0)</f>
        <v>65</v>
      </c>
      <c r="G158" s="8" t="s">
        <v>629</v>
      </c>
      <c r="H158" s="8" t="s">
        <v>630</v>
      </c>
      <c r="I158" s="8" t="s">
        <v>631</v>
      </c>
      <c r="J158" s="8" t="s">
        <v>632</v>
      </c>
    </row>
    <row r="159">
      <c r="A159" s="3">
        <v>10158.0</v>
      </c>
      <c r="B159" s="8" t="s">
        <v>302</v>
      </c>
      <c r="C159" s="8" t="s">
        <v>303</v>
      </c>
      <c r="D159" s="26" t="s">
        <v>513</v>
      </c>
      <c r="E159" s="4" t="b">
        <f t="shared" si="1"/>
        <v>1</v>
      </c>
      <c r="F159" s="3">
        <f>IFERROR(__xludf.DUMMYFUNCTION("IF(COUNTIF($D$2:$D1000, D159)&gt;1, MATCH(D159, UNIQUE(FILTER($D$2:$D1000, COUNTIF($D$2:$D1000, $D$2:$D1000)&gt;1)), 0), """")"),51.0)</f>
        <v>51</v>
      </c>
      <c r="G159" s="8" t="s">
        <v>514</v>
      </c>
      <c r="H159" s="8" t="s">
        <v>515</v>
      </c>
      <c r="I159" s="8" t="s">
        <v>633</v>
      </c>
      <c r="J159" s="8" t="s">
        <v>634</v>
      </c>
    </row>
    <row r="160">
      <c r="A160" s="3">
        <v>10159.0</v>
      </c>
      <c r="B160" s="8" t="s">
        <v>302</v>
      </c>
      <c r="C160" s="8" t="s">
        <v>303</v>
      </c>
      <c r="D160" s="26" t="s">
        <v>25</v>
      </c>
      <c r="E160" s="4" t="b">
        <f t="shared" si="1"/>
        <v>1</v>
      </c>
      <c r="F160" s="3">
        <f>IFERROR(__xludf.DUMMYFUNCTION("IF(COUNTIF($D$2:$D1000, D160)&gt;1, MATCH(D160, UNIQUE(FILTER($D$2:$D1000, COUNTIF($D$2:$D1000, $D$2:$D1000)&gt;1)), 0), """")"),4.0)</f>
        <v>4</v>
      </c>
      <c r="G160" s="8" t="s">
        <v>26</v>
      </c>
      <c r="H160" s="8" t="s">
        <v>27</v>
      </c>
      <c r="I160" s="8" t="s">
        <v>635</v>
      </c>
      <c r="J160" s="8" t="s">
        <v>636</v>
      </c>
    </row>
    <row r="161">
      <c r="A161" s="3">
        <v>10160.0</v>
      </c>
      <c r="B161" s="8" t="s">
        <v>302</v>
      </c>
      <c r="C161" s="8" t="s">
        <v>303</v>
      </c>
      <c r="D161" s="26" t="s">
        <v>547</v>
      </c>
      <c r="E161" s="4" t="b">
        <f t="shared" si="1"/>
        <v>1</v>
      </c>
      <c r="F161" s="3">
        <f>IFERROR(__xludf.DUMMYFUNCTION("IF(COUNTIF($D$2:$D1000, D161)&gt;1, MATCH(D161, UNIQUE(FILTER($D$2:$D1000, COUNTIF($D$2:$D1000, $D$2:$D1000)&gt;1)), 0), """")"),56.0)</f>
        <v>56</v>
      </c>
      <c r="G161" s="8" t="s">
        <v>548</v>
      </c>
      <c r="H161" s="8" t="s">
        <v>549</v>
      </c>
      <c r="I161" s="8" t="s">
        <v>637</v>
      </c>
      <c r="J161" s="8" t="s">
        <v>638</v>
      </c>
    </row>
    <row r="162">
      <c r="A162" s="3">
        <v>10161.0</v>
      </c>
      <c r="B162" s="8" t="s">
        <v>302</v>
      </c>
      <c r="C162" s="8" t="s">
        <v>303</v>
      </c>
      <c r="D162" s="26" t="s">
        <v>639</v>
      </c>
      <c r="E162" s="4" t="b">
        <f t="shared" si="1"/>
        <v>0</v>
      </c>
      <c r="F162" s="3" t="str">
        <f>IFERROR(__xludf.DUMMYFUNCTION("IF(COUNTIF($D$2:$D1000, D162)&gt;1, MATCH(D162, UNIQUE(FILTER($D$2:$D1000, COUNTIF($D$2:$D1000, $D$2:$D1000)&gt;1)), 0), """")"),"")</f>
        <v/>
      </c>
      <c r="G162" s="8" t="s">
        <v>640</v>
      </c>
      <c r="H162" s="8" t="s">
        <v>639</v>
      </c>
      <c r="I162" s="8" t="s">
        <v>641</v>
      </c>
      <c r="J162" s="8" t="s">
        <v>642</v>
      </c>
    </row>
    <row r="163">
      <c r="A163" s="3">
        <v>10162.0</v>
      </c>
      <c r="B163" s="8" t="s">
        <v>302</v>
      </c>
      <c r="C163" s="8" t="s">
        <v>303</v>
      </c>
      <c r="D163" s="26" t="s">
        <v>643</v>
      </c>
      <c r="E163" s="4" t="b">
        <f t="shared" si="1"/>
        <v>1</v>
      </c>
      <c r="F163" s="3">
        <f>IFERROR(__xludf.DUMMYFUNCTION("IF(COUNTIF($D$2:$D1000, D163)&gt;1, MATCH(D163, UNIQUE(FILTER($D$2:$D1000, COUNTIF($D$2:$D1000, $D$2:$D1000)&gt;1)), 0), """")"),66.0)</f>
        <v>66</v>
      </c>
      <c r="G163" s="8" t="s">
        <v>644</v>
      </c>
      <c r="H163" s="8" t="s">
        <v>645</v>
      </c>
      <c r="I163" s="8" t="s">
        <v>646</v>
      </c>
      <c r="J163" s="8" t="s">
        <v>647</v>
      </c>
    </row>
    <row r="164">
      <c r="A164" s="3">
        <v>10163.0</v>
      </c>
      <c r="B164" s="8" t="s">
        <v>302</v>
      </c>
      <c r="C164" s="8" t="s">
        <v>303</v>
      </c>
      <c r="D164" s="26" t="s">
        <v>648</v>
      </c>
      <c r="E164" s="4" t="b">
        <f t="shared" si="1"/>
        <v>1</v>
      </c>
      <c r="F164" s="3">
        <f>IFERROR(__xludf.DUMMYFUNCTION("IF(COUNTIF($D$2:$D1000, D164)&gt;1, MATCH(D164, UNIQUE(FILTER($D$2:$D1000, COUNTIF($D$2:$D1000, $D$2:$D1000)&gt;1)), 0), """")"),67.0)</f>
        <v>67</v>
      </c>
      <c r="G164" s="8" t="s">
        <v>649</v>
      </c>
      <c r="H164" s="8" t="s">
        <v>648</v>
      </c>
      <c r="I164" s="8" t="s">
        <v>650</v>
      </c>
      <c r="J164" s="8" t="s">
        <v>651</v>
      </c>
    </row>
    <row r="165">
      <c r="A165" s="3">
        <v>10164.0</v>
      </c>
      <c r="B165" s="8" t="s">
        <v>302</v>
      </c>
      <c r="C165" s="8" t="s">
        <v>303</v>
      </c>
      <c r="D165" s="26" t="s">
        <v>235</v>
      </c>
      <c r="E165" s="4" t="b">
        <f t="shared" si="1"/>
        <v>1</v>
      </c>
      <c r="F165" s="3">
        <f>IFERROR(__xludf.DUMMYFUNCTION("IF(COUNTIF($D$2:$D1000, D165)&gt;1, MATCH(D165, UNIQUE(FILTER($D$2:$D1000, COUNTIF($D$2:$D1000, $D$2:$D1000)&gt;1)), 0), """")"),22.0)</f>
        <v>22</v>
      </c>
      <c r="G165" s="8" t="s">
        <v>236</v>
      </c>
      <c r="H165" s="8" t="s">
        <v>237</v>
      </c>
      <c r="I165" s="8" t="s">
        <v>652</v>
      </c>
      <c r="J165" s="8" t="s">
        <v>653</v>
      </c>
    </row>
    <row r="166">
      <c r="A166" s="3">
        <v>10165.0</v>
      </c>
      <c r="B166" s="8" t="s">
        <v>302</v>
      </c>
      <c r="C166" s="8" t="s">
        <v>303</v>
      </c>
      <c r="D166" s="26" t="s">
        <v>654</v>
      </c>
      <c r="E166" s="4" t="b">
        <f t="shared" si="1"/>
        <v>0</v>
      </c>
      <c r="F166" s="3" t="str">
        <f>IFERROR(__xludf.DUMMYFUNCTION("IF(COUNTIF($D$2:$D1000, D166)&gt;1, MATCH(D166, UNIQUE(FILTER($D$2:$D1000, COUNTIF($D$2:$D1000, $D$2:$D1000)&gt;1)), 0), """")"),"")</f>
        <v/>
      </c>
      <c r="G166" s="8" t="s">
        <v>655</v>
      </c>
      <c r="H166" s="8" t="s">
        <v>656</v>
      </c>
      <c r="I166" s="8" t="s">
        <v>657</v>
      </c>
      <c r="J166" s="8" t="s">
        <v>658</v>
      </c>
    </row>
    <row r="167">
      <c r="A167" s="3">
        <v>10166.0</v>
      </c>
      <c r="B167" s="8" t="s">
        <v>302</v>
      </c>
      <c r="C167" s="8" t="s">
        <v>303</v>
      </c>
      <c r="D167" s="26" t="s">
        <v>659</v>
      </c>
      <c r="E167" s="4" t="b">
        <f t="shared" si="1"/>
        <v>0</v>
      </c>
      <c r="F167" s="3" t="str">
        <f>IFERROR(__xludf.DUMMYFUNCTION("IF(COUNTIF($D$2:$D1000, D167)&gt;1, MATCH(D167, UNIQUE(FILTER($D$2:$D1000, COUNTIF($D$2:$D1000, $D$2:$D1000)&gt;1)), 0), """")"),"")</f>
        <v/>
      </c>
      <c r="G167" s="8" t="s">
        <v>660</v>
      </c>
      <c r="H167" s="8" t="s">
        <v>659</v>
      </c>
      <c r="I167" s="8" t="s">
        <v>661</v>
      </c>
      <c r="J167" s="8" t="s">
        <v>662</v>
      </c>
    </row>
    <row r="168">
      <c r="A168" s="3">
        <v>10167.0</v>
      </c>
      <c r="B168" s="8" t="s">
        <v>302</v>
      </c>
      <c r="C168" s="8" t="s">
        <v>303</v>
      </c>
      <c r="D168" s="26" t="s">
        <v>663</v>
      </c>
      <c r="E168" s="4" t="b">
        <f t="shared" si="1"/>
        <v>1</v>
      </c>
      <c r="F168" s="3">
        <f>IFERROR(__xludf.DUMMYFUNCTION("IF(COUNTIF($D$2:$D1000, D168)&gt;1, MATCH(D168, UNIQUE(FILTER($D$2:$D1000, COUNTIF($D$2:$D1000, $D$2:$D1000)&gt;1)), 0), """")"),68.0)</f>
        <v>68</v>
      </c>
      <c r="G168" s="8" t="s">
        <v>664</v>
      </c>
      <c r="H168" s="8" t="s">
        <v>663</v>
      </c>
      <c r="I168" s="8" t="s">
        <v>665</v>
      </c>
      <c r="J168" s="8" t="s">
        <v>666</v>
      </c>
    </row>
    <row r="169">
      <c r="A169" s="3">
        <v>10168.0</v>
      </c>
      <c r="B169" s="8" t="s">
        <v>302</v>
      </c>
      <c r="C169" s="8" t="s">
        <v>303</v>
      </c>
      <c r="D169" s="26" t="s">
        <v>667</v>
      </c>
      <c r="E169" s="4" t="b">
        <f t="shared" si="1"/>
        <v>1</v>
      </c>
      <c r="F169" s="3">
        <f>IFERROR(__xludf.DUMMYFUNCTION("IF(COUNTIF($D$2:$D1000, D169)&gt;1, MATCH(D169, UNIQUE(FILTER($D$2:$D1000, COUNTIF($D$2:$D1000, $D$2:$D1000)&gt;1)), 0), """")"),69.0)</f>
        <v>69</v>
      </c>
      <c r="G169" s="8" t="s">
        <v>668</v>
      </c>
      <c r="H169" s="8" t="s">
        <v>669</v>
      </c>
      <c r="I169" s="8" t="s">
        <v>670</v>
      </c>
      <c r="J169" s="8" t="s">
        <v>671</v>
      </c>
    </row>
    <row r="170">
      <c r="A170" s="3">
        <v>10169.0</v>
      </c>
      <c r="B170" s="8" t="s">
        <v>302</v>
      </c>
      <c r="C170" s="8" t="s">
        <v>303</v>
      </c>
      <c r="D170" s="26" t="s">
        <v>52</v>
      </c>
      <c r="E170" s="4" t="b">
        <f t="shared" si="1"/>
        <v>1</v>
      </c>
      <c r="F170" s="3">
        <f>IFERROR(__xludf.DUMMYFUNCTION("IF(COUNTIF($D$2:$D1000, D170)&gt;1, MATCH(D170, UNIQUE(FILTER($D$2:$D1000, COUNTIF($D$2:$D1000, $D$2:$D1000)&gt;1)), 0), """")"),9.0)</f>
        <v>9</v>
      </c>
      <c r="G170" s="8" t="s">
        <v>53</v>
      </c>
      <c r="H170" s="8" t="s">
        <v>54</v>
      </c>
      <c r="I170" s="8" t="s">
        <v>672</v>
      </c>
      <c r="J170" s="8" t="s">
        <v>673</v>
      </c>
    </row>
    <row r="171">
      <c r="A171" s="3">
        <v>10170.0</v>
      </c>
      <c r="B171" s="8" t="s">
        <v>302</v>
      </c>
      <c r="C171" s="8" t="s">
        <v>303</v>
      </c>
      <c r="D171" s="26" t="s">
        <v>484</v>
      </c>
      <c r="E171" s="4" t="b">
        <f t="shared" si="1"/>
        <v>1</v>
      </c>
      <c r="F171" s="3">
        <f>IFERROR(__xludf.DUMMYFUNCTION("IF(COUNTIF($D$2:$D1000, D171)&gt;1, MATCH(D171, UNIQUE(FILTER($D$2:$D1000, COUNTIF($D$2:$D1000, $D$2:$D1000)&gt;1)), 0), """")"),48.0)</f>
        <v>48</v>
      </c>
      <c r="G171" s="8" t="s">
        <v>485</v>
      </c>
      <c r="H171" s="8" t="s">
        <v>484</v>
      </c>
      <c r="I171" s="8" t="s">
        <v>674</v>
      </c>
      <c r="J171" s="8" t="s">
        <v>675</v>
      </c>
    </row>
    <row r="172">
      <c r="A172" s="3">
        <v>10171.0</v>
      </c>
      <c r="B172" s="8" t="s">
        <v>302</v>
      </c>
      <c r="C172" s="8" t="s">
        <v>303</v>
      </c>
      <c r="D172" s="26" t="s">
        <v>676</v>
      </c>
      <c r="E172" s="4" t="b">
        <f t="shared" si="1"/>
        <v>0</v>
      </c>
      <c r="F172" s="3" t="str">
        <f>IFERROR(__xludf.DUMMYFUNCTION("IF(COUNTIF($D$2:$D1000, D172)&gt;1, MATCH(D172, UNIQUE(FILTER($D$2:$D1000, COUNTIF($D$2:$D1000, $D$2:$D1000)&gt;1)), 0), """")"),"")</f>
        <v/>
      </c>
      <c r="G172" s="8" t="s">
        <v>677</v>
      </c>
      <c r="H172" s="8" t="s">
        <v>678</v>
      </c>
      <c r="I172" s="8" t="s">
        <v>679</v>
      </c>
      <c r="J172" s="8" t="s">
        <v>680</v>
      </c>
    </row>
    <row r="173">
      <c r="A173" s="3">
        <v>10172.0</v>
      </c>
      <c r="B173" s="8" t="s">
        <v>308</v>
      </c>
      <c r="C173" s="8" t="s">
        <v>309</v>
      </c>
      <c r="D173" s="26" t="s">
        <v>423</v>
      </c>
      <c r="E173" s="4" t="b">
        <f t="shared" si="1"/>
        <v>1</v>
      </c>
      <c r="F173" s="3">
        <f>IFERROR(__xludf.DUMMYFUNCTION("IF(COUNTIF($D$2:$D1000, D173)&gt;1, MATCH(D173, UNIQUE(FILTER($D$2:$D1000, COUNTIF($D$2:$D1000, $D$2:$D1000)&gt;1)), 0), """")"),44.0)</f>
        <v>44</v>
      </c>
      <c r="G173" s="8" t="s">
        <v>424</v>
      </c>
      <c r="H173" s="8" t="s">
        <v>425</v>
      </c>
      <c r="I173" s="8" t="s">
        <v>681</v>
      </c>
      <c r="J173" s="8" t="s">
        <v>682</v>
      </c>
    </row>
    <row r="174">
      <c r="A174" s="3">
        <v>10173.0</v>
      </c>
      <c r="B174" s="8" t="s">
        <v>308</v>
      </c>
      <c r="C174" s="8" t="s">
        <v>309</v>
      </c>
      <c r="D174" s="26" t="s">
        <v>101</v>
      </c>
      <c r="E174" s="4" t="b">
        <f t="shared" si="1"/>
        <v>1</v>
      </c>
      <c r="F174" s="3">
        <f>IFERROR(__xludf.DUMMYFUNCTION("IF(COUNTIF($D$2:$D1000, D174)&gt;1, MATCH(D174, UNIQUE(FILTER($D$2:$D1000, COUNTIF($D$2:$D1000, $D$2:$D1000)&gt;1)), 0), """")"),15.0)</f>
        <v>15</v>
      </c>
      <c r="G174" s="8" t="s">
        <v>102</v>
      </c>
      <c r="H174" s="8" t="s">
        <v>103</v>
      </c>
      <c r="I174" s="8" t="s">
        <v>683</v>
      </c>
      <c r="J174" s="8" t="s">
        <v>684</v>
      </c>
    </row>
    <row r="175">
      <c r="A175" s="3">
        <v>10174.0</v>
      </c>
      <c r="B175" s="8" t="s">
        <v>308</v>
      </c>
      <c r="C175" s="8" t="s">
        <v>309</v>
      </c>
      <c r="D175" s="26" t="s">
        <v>403</v>
      </c>
      <c r="E175" s="4" t="b">
        <f t="shared" si="1"/>
        <v>1</v>
      </c>
      <c r="F175" s="3">
        <f>IFERROR(__xludf.DUMMYFUNCTION("IF(COUNTIF($D$2:$D1000, D175)&gt;1, MATCH(D175, UNIQUE(FILTER($D$2:$D1000, COUNTIF($D$2:$D1000, $D$2:$D1000)&gt;1)), 0), """")"),42.0)</f>
        <v>42</v>
      </c>
      <c r="G175" s="8" t="s">
        <v>404</v>
      </c>
      <c r="H175" s="8" t="s">
        <v>405</v>
      </c>
      <c r="I175" s="8" t="s">
        <v>685</v>
      </c>
      <c r="J175" s="8" t="s">
        <v>686</v>
      </c>
    </row>
    <row r="176">
      <c r="A176" s="3">
        <v>10175.0</v>
      </c>
      <c r="B176" s="8" t="s">
        <v>308</v>
      </c>
      <c r="C176" s="8" t="s">
        <v>309</v>
      </c>
      <c r="D176" s="26" t="s">
        <v>268</v>
      </c>
      <c r="E176" s="4" t="b">
        <f t="shared" si="1"/>
        <v>1</v>
      </c>
      <c r="F176" s="3">
        <f>IFERROR(__xludf.DUMMYFUNCTION("IF(COUNTIF($D$2:$D1000, D176)&gt;1, MATCH(D176, UNIQUE(FILTER($D$2:$D1000, COUNTIF($D$2:$D1000, $D$2:$D1000)&gt;1)), 0), """")"),24.0)</f>
        <v>24</v>
      </c>
      <c r="G176" s="8" t="s">
        <v>269</v>
      </c>
      <c r="H176" s="8" t="s">
        <v>270</v>
      </c>
      <c r="I176" s="8" t="s">
        <v>687</v>
      </c>
      <c r="J176" s="8" t="s">
        <v>688</v>
      </c>
    </row>
    <row r="177">
      <c r="A177" s="3">
        <v>10176.0</v>
      </c>
      <c r="B177" s="8" t="s">
        <v>308</v>
      </c>
      <c r="C177" s="8" t="s">
        <v>309</v>
      </c>
      <c r="D177" s="26" t="s">
        <v>123</v>
      </c>
      <c r="E177" s="4" t="b">
        <f t="shared" si="1"/>
        <v>1</v>
      </c>
      <c r="F177" s="3">
        <f>IFERROR(__xludf.DUMMYFUNCTION("IF(COUNTIF($D$2:$D1000, D177)&gt;1, MATCH(D177, UNIQUE(FILTER($D$2:$D1000, COUNTIF($D$2:$D1000, $D$2:$D1000)&gt;1)), 0), """")"),17.0)</f>
        <v>17</v>
      </c>
      <c r="G177" s="8" t="s">
        <v>124</v>
      </c>
      <c r="H177" s="8" t="s">
        <v>125</v>
      </c>
      <c r="I177" s="8" t="s">
        <v>689</v>
      </c>
      <c r="J177" s="8" t="s">
        <v>690</v>
      </c>
    </row>
    <row r="178">
      <c r="A178" s="3">
        <v>10177.0</v>
      </c>
      <c r="B178" s="8" t="s">
        <v>308</v>
      </c>
      <c r="C178" s="8" t="s">
        <v>309</v>
      </c>
      <c r="D178" s="26" t="s">
        <v>430</v>
      </c>
      <c r="E178" s="4" t="b">
        <f t="shared" si="1"/>
        <v>1</v>
      </c>
      <c r="F178" s="3">
        <f>IFERROR(__xludf.DUMMYFUNCTION("IF(COUNTIF($D$2:$D1000, D178)&gt;1, MATCH(D178, UNIQUE(FILTER($D$2:$D1000, COUNTIF($D$2:$D1000, $D$2:$D1000)&gt;1)), 0), """")"),45.0)</f>
        <v>45</v>
      </c>
      <c r="G178" s="8" t="s">
        <v>431</v>
      </c>
      <c r="H178" s="8" t="s">
        <v>432</v>
      </c>
      <c r="I178" s="8" t="s">
        <v>691</v>
      </c>
      <c r="J178" s="8" t="s">
        <v>692</v>
      </c>
    </row>
    <row r="179">
      <c r="A179" s="3">
        <v>10178.0</v>
      </c>
      <c r="B179" s="8" t="s">
        <v>308</v>
      </c>
      <c r="C179" s="8" t="s">
        <v>309</v>
      </c>
      <c r="D179" s="26" t="s">
        <v>213</v>
      </c>
      <c r="E179" s="4" t="b">
        <f t="shared" si="1"/>
        <v>1</v>
      </c>
      <c r="F179" s="3">
        <f>IFERROR(__xludf.DUMMYFUNCTION("IF(COUNTIF($D$2:$D1000, D179)&gt;1, MATCH(D179, UNIQUE(FILTER($D$2:$D1000, COUNTIF($D$2:$D1000, $D$2:$D1000)&gt;1)), 0), """")"),21.0)</f>
        <v>21</v>
      </c>
      <c r="G179" s="8" t="s">
        <v>214</v>
      </c>
      <c r="H179" s="8" t="s">
        <v>215</v>
      </c>
      <c r="I179" s="8" t="s">
        <v>693</v>
      </c>
      <c r="J179" s="8" t="s">
        <v>694</v>
      </c>
    </row>
    <row r="180">
      <c r="A180" s="3">
        <v>10179.0</v>
      </c>
      <c r="B180" s="8" t="s">
        <v>308</v>
      </c>
      <c r="C180" s="8" t="s">
        <v>309</v>
      </c>
      <c r="D180" s="26" t="s">
        <v>695</v>
      </c>
      <c r="E180" s="4" t="b">
        <f t="shared" si="1"/>
        <v>1</v>
      </c>
      <c r="F180" s="3">
        <f>IFERROR(__xludf.DUMMYFUNCTION("IF(COUNTIF($D$2:$D1000, D180)&gt;1, MATCH(D180, UNIQUE(FILTER($D$2:$D1000, COUNTIF($D$2:$D1000, $D$2:$D1000)&gt;1)), 0), """")"),70.0)</f>
        <v>70</v>
      </c>
      <c r="G180" s="8" t="s">
        <v>417</v>
      </c>
      <c r="H180" s="8" t="s">
        <v>418</v>
      </c>
      <c r="I180" s="8" t="s">
        <v>696</v>
      </c>
      <c r="J180" s="8" t="s">
        <v>697</v>
      </c>
    </row>
    <row r="181">
      <c r="A181" s="3">
        <v>10180.0</v>
      </c>
      <c r="B181" s="8" t="s">
        <v>308</v>
      </c>
      <c r="C181" s="8" t="s">
        <v>309</v>
      </c>
      <c r="D181" s="26" t="s">
        <v>698</v>
      </c>
      <c r="E181" s="4" t="b">
        <f t="shared" si="1"/>
        <v>1</v>
      </c>
      <c r="F181" s="3">
        <f>IFERROR(__xludf.DUMMYFUNCTION("IF(COUNTIF($D$2:$D1000, D181)&gt;1, MATCH(D181, UNIQUE(FILTER($D$2:$D1000, COUNTIF($D$2:$D1000, $D$2:$D1000)&gt;1)), 0), """")"),71.0)</f>
        <v>71</v>
      </c>
      <c r="G181" s="8" t="s">
        <v>699</v>
      </c>
      <c r="H181" s="8" t="s">
        <v>700</v>
      </c>
      <c r="I181" s="8" t="s">
        <v>701</v>
      </c>
      <c r="J181" s="8" t="s">
        <v>702</v>
      </c>
    </row>
    <row r="182">
      <c r="A182" s="3">
        <v>10181.0</v>
      </c>
      <c r="B182" s="8" t="s">
        <v>308</v>
      </c>
      <c r="C182" s="8" t="s">
        <v>309</v>
      </c>
      <c r="D182" s="26" t="s">
        <v>35</v>
      </c>
      <c r="E182" s="4" t="b">
        <f t="shared" si="1"/>
        <v>1</v>
      </c>
      <c r="F182" s="3">
        <f>IFERROR(__xludf.DUMMYFUNCTION("IF(COUNTIF($D$2:$D1000, D182)&gt;1, MATCH(D182, UNIQUE(FILTER($D$2:$D1000, COUNTIF($D$2:$D1000, $D$2:$D1000)&gt;1)), 0), """")"),6.0)</f>
        <v>6</v>
      </c>
      <c r="G182" s="8" t="s">
        <v>36</v>
      </c>
      <c r="H182" s="8" t="s">
        <v>37</v>
      </c>
      <c r="I182" s="8" t="s">
        <v>703</v>
      </c>
      <c r="J182" s="8" t="s">
        <v>704</v>
      </c>
    </row>
    <row r="183">
      <c r="A183" s="3">
        <v>10182.0</v>
      </c>
      <c r="B183" s="8" t="s">
        <v>308</v>
      </c>
      <c r="C183" s="8" t="s">
        <v>309</v>
      </c>
      <c r="D183" s="26" t="s">
        <v>423</v>
      </c>
      <c r="E183" s="4" t="b">
        <f t="shared" si="1"/>
        <v>1</v>
      </c>
      <c r="F183" s="3">
        <f>IFERROR(__xludf.DUMMYFUNCTION("IF(COUNTIF($D$2:$D1000, D183)&gt;1, MATCH(D183, UNIQUE(FILTER($D$2:$D1000, COUNTIF($D$2:$D1000, $D$2:$D1000)&gt;1)), 0), """")"),44.0)</f>
        <v>44</v>
      </c>
      <c r="G183" s="8" t="s">
        <v>424</v>
      </c>
      <c r="H183" s="8" t="s">
        <v>425</v>
      </c>
      <c r="I183" s="8" t="s">
        <v>705</v>
      </c>
      <c r="J183" s="8" t="s">
        <v>706</v>
      </c>
    </row>
    <row r="184">
      <c r="A184" s="3">
        <v>10183.0</v>
      </c>
      <c r="B184" s="8" t="s">
        <v>308</v>
      </c>
      <c r="C184" s="8" t="s">
        <v>309</v>
      </c>
      <c r="D184" s="26" t="s">
        <v>707</v>
      </c>
      <c r="E184" s="4" t="b">
        <f t="shared" si="1"/>
        <v>0</v>
      </c>
      <c r="F184" s="3" t="str">
        <f>IFERROR(__xludf.DUMMYFUNCTION("IF(COUNTIF($D$2:$D1000, D184)&gt;1, MATCH(D184, UNIQUE(FILTER($D$2:$D1000, COUNTIF($D$2:$D1000, $D$2:$D1000)&gt;1)), 0), """")"),"")</f>
        <v/>
      </c>
      <c r="G184" s="8" t="s">
        <v>708</v>
      </c>
      <c r="H184" s="8" t="s">
        <v>709</v>
      </c>
      <c r="I184" s="8" t="s">
        <v>710</v>
      </c>
      <c r="J184" s="8" t="s">
        <v>711</v>
      </c>
    </row>
    <row r="185">
      <c r="A185" s="3">
        <v>10184.0</v>
      </c>
      <c r="B185" s="8" t="s">
        <v>308</v>
      </c>
      <c r="C185" s="8" t="s">
        <v>309</v>
      </c>
      <c r="D185" s="26" t="s">
        <v>712</v>
      </c>
      <c r="E185" s="4" t="b">
        <f t="shared" si="1"/>
        <v>0</v>
      </c>
      <c r="F185" s="3" t="str">
        <f>IFERROR(__xludf.DUMMYFUNCTION("IF(COUNTIF($D$2:$D1000, D185)&gt;1, MATCH(D185, UNIQUE(FILTER($D$2:$D1000, COUNTIF($D$2:$D1000, $D$2:$D1000)&gt;1)), 0), """")"),"")</f>
        <v/>
      </c>
      <c r="G185" s="8" t="s">
        <v>713</v>
      </c>
      <c r="H185" s="8" t="s">
        <v>714</v>
      </c>
      <c r="I185" s="8" t="s">
        <v>715</v>
      </c>
      <c r="J185" s="8" t="s">
        <v>716</v>
      </c>
    </row>
    <row r="186">
      <c r="A186" s="3">
        <v>10185.0</v>
      </c>
      <c r="B186" s="8" t="s">
        <v>308</v>
      </c>
      <c r="C186" s="8" t="s">
        <v>309</v>
      </c>
      <c r="D186" s="26" t="s">
        <v>717</v>
      </c>
      <c r="E186" s="4" t="b">
        <f t="shared" si="1"/>
        <v>0</v>
      </c>
      <c r="F186" s="3" t="str">
        <f>IFERROR(__xludf.DUMMYFUNCTION("IF(COUNTIF($D$2:$D1000, D186)&gt;1, MATCH(D186, UNIQUE(FILTER($D$2:$D1000, COUNTIF($D$2:$D1000, $D$2:$D1000)&gt;1)), 0), """")"),"")</f>
        <v/>
      </c>
      <c r="G186" s="8" t="s">
        <v>718</v>
      </c>
      <c r="H186" s="8" t="s">
        <v>719</v>
      </c>
      <c r="I186" s="8" t="s">
        <v>720</v>
      </c>
      <c r="J186" s="8" t="s">
        <v>721</v>
      </c>
    </row>
    <row r="187">
      <c r="A187" s="3">
        <v>10186.0</v>
      </c>
      <c r="B187" s="8" t="s">
        <v>308</v>
      </c>
      <c r="C187" s="8" t="s">
        <v>309</v>
      </c>
      <c r="D187" s="26" t="s">
        <v>722</v>
      </c>
      <c r="E187" s="4" t="b">
        <f t="shared" si="1"/>
        <v>1</v>
      </c>
      <c r="F187" s="3">
        <f>IFERROR(__xludf.DUMMYFUNCTION("IF(COUNTIF($D$2:$D1000, D187)&gt;1, MATCH(D187, UNIQUE(FILTER($D$2:$D1000, COUNTIF($D$2:$D1000, $D$2:$D1000)&gt;1)), 0), """")"),72.0)</f>
        <v>72</v>
      </c>
      <c r="G187" s="8" t="s">
        <v>723</v>
      </c>
      <c r="H187" s="8" t="s">
        <v>724</v>
      </c>
      <c r="I187" s="8" t="s">
        <v>725</v>
      </c>
      <c r="J187" s="8" t="s">
        <v>726</v>
      </c>
    </row>
    <row r="188">
      <c r="A188" s="3">
        <v>10187.0</v>
      </c>
      <c r="B188" s="8" t="s">
        <v>308</v>
      </c>
      <c r="C188" s="8" t="s">
        <v>309</v>
      </c>
      <c r="D188" s="26" t="s">
        <v>388</v>
      </c>
      <c r="E188" s="4" t="b">
        <f t="shared" si="1"/>
        <v>1</v>
      </c>
      <c r="F188" s="3">
        <f>IFERROR(__xludf.DUMMYFUNCTION("IF(COUNTIF($D$2:$D1000, D188)&gt;1, MATCH(D188, UNIQUE(FILTER($D$2:$D1000, COUNTIF($D$2:$D1000, $D$2:$D1000)&gt;1)), 0), """")"),39.0)</f>
        <v>39</v>
      </c>
      <c r="G188" s="8" t="s">
        <v>389</v>
      </c>
      <c r="H188" s="8" t="s">
        <v>390</v>
      </c>
      <c r="I188" s="8" t="s">
        <v>727</v>
      </c>
      <c r="J188" s="8" t="s">
        <v>728</v>
      </c>
    </row>
    <row r="189">
      <c r="A189" s="3">
        <v>10188.0</v>
      </c>
      <c r="B189" s="8" t="s">
        <v>308</v>
      </c>
      <c r="C189" s="8" t="s">
        <v>309</v>
      </c>
      <c r="D189" s="26" t="s">
        <v>729</v>
      </c>
      <c r="E189" s="4" t="b">
        <f t="shared" si="1"/>
        <v>0</v>
      </c>
      <c r="F189" s="3" t="str">
        <f>IFERROR(__xludf.DUMMYFUNCTION("IF(COUNTIF($D$2:$D1000, D189)&gt;1, MATCH(D189, UNIQUE(FILTER($D$2:$D1000, COUNTIF($D$2:$D1000, $D$2:$D1000)&gt;1)), 0), """")"),"")</f>
        <v/>
      </c>
      <c r="G189" s="8" t="s">
        <v>730</v>
      </c>
      <c r="H189" s="8" t="s">
        <v>731</v>
      </c>
      <c r="I189" s="8" t="s">
        <v>732</v>
      </c>
      <c r="J189" s="8" t="s">
        <v>733</v>
      </c>
    </row>
    <row r="190">
      <c r="A190" s="3">
        <v>10189.0</v>
      </c>
      <c r="B190" s="8" t="s">
        <v>312</v>
      </c>
      <c r="C190" s="8" t="s">
        <v>313</v>
      </c>
      <c r="D190" s="26" t="s">
        <v>452</v>
      </c>
      <c r="E190" s="4" t="b">
        <f t="shared" si="1"/>
        <v>1</v>
      </c>
      <c r="F190" s="3">
        <f>IFERROR(__xludf.DUMMYFUNCTION("IF(COUNTIF($D$2:$D1000, D190)&gt;1, MATCH(D190, UNIQUE(FILTER($D$2:$D1000, COUNTIF($D$2:$D1000, $D$2:$D1000)&gt;1)), 0), """")"),46.0)</f>
        <v>46</v>
      </c>
      <c r="G190" s="8" t="s">
        <v>453</v>
      </c>
      <c r="H190" s="8" t="s">
        <v>454</v>
      </c>
      <c r="I190" s="8" t="s">
        <v>734</v>
      </c>
      <c r="J190" s="8" t="s">
        <v>735</v>
      </c>
    </row>
    <row r="191">
      <c r="A191" s="3">
        <v>10190.0</v>
      </c>
      <c r="B191" s="8" t="s">
        <v>312</v>
      </c>
      <c r="C191" s="8" t="s">
        <v>313</v>
      </c>
      <c r="D191" s="26" t="s">
        <v>376</v>
      </c>
      <c r="E191" s="4" t="b">
        <f t="shared" si="1"/>
        <v>1</v>
      </c>
      <c r="F191" s="3">
        <f>IFERROR(__xludf.DUMMYFUNCTION("IF(COUNTIF($D$2:$D1000, D191)&gt;1, MATCH(D191, UNIQUE(FILTER($D$2:$D1000, COUNTIF($D$2:$D1000, $D$2:$D1000)&gt;1)), 0), """")"),38.0)</f>
        <v>38</v>
      </c>
      <c r="G191" s="8" t="s">
        <v>377</v>
      </c>
      <c r="H191" s="8" t="s">
        <v>378</v>
      </c>
      <c r="I191" s="8" t="s">
        <v>736</v>
      </c>
      <c r="J191" s="8" t="s">
        <v>737</v>
      </c>
    </row>
    <row r="192">
      <c r="A192" s="3">
        <v>10191.0</v>
      </c>
      <c r="B192" s="8" t="s">
        <v>312</v>
      </c>
      <c r="C192" s="8" t="s">
        <v>313</v>
      </c>
      <c r="D192" s="26" t="s">
        <v>45</v>
      </c>
      <c r="E192" s="4" t="b">
        <f t="shared" si="1"/>
        <v>1</v>
      </c>
      <c r="F192" s="3">
        <f>IFERROR(__xludf.DUMMYFUNCTION("IF(COUNTIF($D$2:$D1000, D192)&gt;1, MATCH(D192, UNIQUE(FILTER($D$2:$D1000, COUNTIF($D$2:$D1000, $D$2:$D1000)&gt;1)), 0), """")"),8.0)</f>
        <v>8</v>
      </c>
      <c r="G192" s="8" t="s">
        <v>46</v>
      </c>
      <c r="H192" s="8" t="s">
        <v>47</v>
      </c>
      <c r="I192" s="8" t="s">
        <v>738</v>
      </c>
      <c r="J192" s="8" t="s">
        <v>739</v>
      </c>
    </row>
    <row r="193">
      <c r="A193" s="3">
        <v>10192.0</v>
      </c>
      <c r="B193" s="8" t="s">
        <v>312</v>
      </c>
      <c r="C193" s="8" t="s">
        <v>313</v>
      </c>
      <c r="D193" s="26" t="s">
        <v>108</v>
      </c>
      <c r="E193" s="4" t="b">
        <f t="shared" si="1"/>
        <v>1</v>
      </c>
      <c r="F193" s="3">
        <f>IFERROR(__xludf.DUMMYFUNCTION("IF(COUNTIF($D$2:$D1000, D193)&gt;1, MATCH(D193, UNIQUE(FILTER($D$2:$D1000, COUNTIF($D$2:$D1000, $D$2:$D1000)&gt;1)), 0), """")"),16.0)</f>
        <v>16</v>
      </c>
      <c r="G193" s="8" t="s">
        <v>109</v>
      </c>
      <c r="H193" s="8" t="s">
        <v>110</v>
      </c>
      <c r="I193" s="8" t="s">
        <v>740</v>
      </c>
      <c r="J193" s="8" t="s">
        <v>741</v>
      </c>
    </row>
    <row r="194">
      <c r="A194" s="3">
        <v>10193.0</v>
      </c>
      <c r="B194" s="8" t="s">
        <v>312</v>
      </c>
      <c r="C194" s="8" t="s">
        <v>313</v>
      </c>
      <c r="D194" s="26" t="s">
        <v>72</v>
      </c>
      <c r="E194" s="4" t="b">
        <f t="shared" si="1"/>
        <v>1</v>
      </c>
      <c r="F194" s="3">
        <f>IFERROR(__xludf.DUMMYFUNCTION("IF(COUNTIF($D$2:$D1000, D194)&gt;1, MATCH(D194, UNIQUE(FILTER($D$2:$D1000, COUNTIF($D$2:$D1000, $D$2:$D1000)&gt;1)), 0), """")"),11.0)</f>
        <v>11</v>
      </c>
      <c r="G194" s="8" t="s">
        <v>73</v>
      </c>
      <c r="H194" s="8" t="s">
        <v>74</v>
      </c>
      <c r="I194" s="8" t="s">
        <v>742</v>
      </c>
      <c r="J194" s="8" t="s">
        <v>743</v>
      </c>
    </row>
    <row r="195">
      <c r="A195" s="3">
        <v>10194.0</v>
      </c>
      <c r="B195" s="8" t="s">
        <v>312</v>
      </c>
      <c r="C195" s="8" t="s">
        <v>313</v>
      </c>
      <c r="D195" s="26" t="s">
        <v>77</v>
      </c>
      <c r="E195" s="4" t="b">
        <f t="shared" si="1"/>
        <v>1</v>
      </c>
      <c r="F195" s="3">
        <f>IFERROR(__xludf.DUMMYFUNCTION("IF(COUNTIF($D$2:$D1000, D195)&gt;1, MATCH(D195, UNIQUE(FILTER($D$2:$D1000, COUNTIF($D$2:$D1000, $D$2:$D1000)&gt;1)), 0), """")"),12.0)</f>
        <v>12</v>
      </c>
      <c r="G195" s="8" t="s">
        <v>78</v>
      </c>
      <c r="H195" s="8" t="s">
        <v>79</v>
      </c>
      <c r="I195" s="8" t="s">
        <v>744</v>
      </c>
      <c r="J195" s="8" t="s">
        <v>745</v>
      </c>
    </row>
    <row r="196">
      <c r="A196" s="3">
        <v>10195.0</v>
      </c>
      <c r="B196" s="8" t="s">
        <v>312</v>
      </c>
      <c r="C196" s="8" t="s">
        <v>313</v>
      </c>
      <c r="D196" s="26" t="s">
        <v>746</v>
      </c>
      <c r="E196" s="4" t="b">
        <f t="shared" si="1"/>
        <v>1</v>
      </c>
      <c r="F196" s="3">
        <f>IFERROR(__xludf.DUMMYFUNCTION("IF(COUNTIF($D$2:$D1000, D196)&gt;1, MATCH(D196, UNIQUE(FILTER($D$2:$D1000, COUNTIF($D$2:$D1000, $D$2:$D1000)&gt;1)), 0), """")"),73.0)</f>
        <v>73</v>
      </c>
      <c r="G196" s="8" t="s">
        <v>747</v>
      </c>
      <c r="H196" s="8" t="s">
        <v>748</v>
      </c>
      <c r="I196" s="8" t="s">
        <v>749</v>
      </c>
      <c r="J196" s="8" t="s">
        <v>750</v>
      </c>
    </row>
    <row r="197">
      <c r="A197" s="3">
        <v>10196.0</v>
      </c>
      <c r="B197" s="8" t="s">
        <v>312</v>
      </c>
      <c r="C197" s="8" t="s">
        <v>313</v>
      </c>
      <c r="D197" s="26" t="s">
        <v>751</v>
      </c>
      <c r="E197" s="4" t="b">
        <f t="shared" si="1"/>
        <v>1</v>
      </c>
      <c r="F197" s="3">
        <f>IFERROR(__xludf.DUMMYFUNCTION("IF(COUNTIF($D$2:$D1000, D197)&gt;1, MATCH(D197, UNIQUE(FILTER($D$2:$D1000, COUNTIF($D$2:$D1000, $D$2:$D1000)&gt;1)), 0), """")"),74.0)</f>
        <v>74</v>
      </c>
      <c r="G197" s="8" t="s">
        <v>752</v>
      </c>
      <c r="H197" s="8" t="s">
        <v>753</v>
      </c>
      <c r="I197" s="8" t="s">
        <v>754</v>
      </c>
      <c r="J197" s="8" t="s">
        <v>755</v>
      </c>
    </row>
    <row r="198">
      <c r="A198" s="3">
        <v>10197.0</v>
      </c>
      <c r="B198" s="8" t="s">
        <v>312</v>
      </c>
      <c r="C198" s="8" t="s">
        <v>313</v>
      </c>
      <c r="D198" s="26" t="s">
        <v>756</v>
      </c>
      <c r="E198" s="4" t="b">
        <f t="shared" si="1"/>
        <v>1</v>
      </c>
      <c r="F198" s="3">
        <f>IFERROR(__xludf.DUMMYFUNCTION("IF(COUNTIF($D$2:$D1000, D198)&gt;1, MATCH(D198, UNIQUE(FILTER($D$2:$D1000, COUNTIF($D$2:$D1000, $D$2:$D1000)&gt;1)), 0), """")"),75.0)</f>
        <v>75</v>
      </c>
      <c r="G198" s="8" t="s">
        <v>757</v>
      </c>
      <c r="H198" s="8" t="s">
        <v>758</v>
      </c>
      <c r="I198" s="8" t="s">
        <v>759</v>
      </c>
      <c r="J198" s="8" t="s">
        <v>760</v>
      </c>
    </row>
    <row r="199">
      <c r="A199" s="3">
        <v>10198.0</v>
      </c>
      <c r="B199" s="8" t="s">
        <v>312</v>
      </c>
      <c r="C199" s="8" t="s">
        <v>313</v>
      </c>
      <c r="D199" s="26" t="s">
        <v>756</v>
      </c>
      <c r="E199" s="4" t="b">
        <f t="shared" si="1"/>
        <v>1</v>
      </c>
      <c r="F199" s="3">
        <f>IFERROR(__xludf.DUMMYFUNCTION("IF(COUNTIF($D$2:$D1000, D199)&gt;1, MATCH(D199, UNIQUE(FILTER($D$2:$D1000, COUNTIF($D$2:$D1000, $D$2:$D1000)&gt;1)), 0), """")"),75.0)</f>
        <v>75</v>
      </c>
      <c r="G199" s="8" t="s">
        <v>757</v>
      </c>
      <c r="H199" s="8" t="s">
        <v>758</v>
      </c>
      <c r="I199" s="8" t="s">
        <v>761</v>
      </c>
      <c r="J199" s="8" t="s">
        <v>762</v>
      </c>
    </row>
    <row r="200">
      <c r="A200" s="3">
        <v>10199.0</v>
      </c>
      <c r="B200" s="8" t="s">
        <v>312</v>
      </c>
      <c r="C200" s="8" t="s">
        <v>313</v>
      </c>
      <c r="D200" s="26" t="s">
        <v>763</v>
      </c>
      <c r="E200" s="4" t="b">
        <f t="shared" si="1"/>
        <v>1</v>
      </c>
      <c r="F200" s="3">
        <f>IFERROR(__xludf.DUMMYFUNCTION("IF(COUNTIF($D$2:$D1000, D200)&gt;1, MATCH(D200, UNIQUE(FILTER($D$2:$D1000, COUNTIF($D$2:$D1000, $D$2:$D1000)&gt;1)), 0), """")"),76.0)</f>
        <v>76</v>
      </c>
      <c r="G200" s="8" t="s">
        <v>764</v>
      </c>
      <c r="H200" s="8" t="s">
        <v>765</v>
      </c>
      <c r="I200" s="8" t="s">
        <v>766</v>
      </c>
      <c r="J200" s="8" t="s">
        <v>767</v>
      </c>
    </row>
    <row r="201">
      <c r="A201" s="3">
        <v>10200.0</v>
      </c>
      <c r="B201" s="8" t="s">
        <v>312</v>
      </c>
      <c r="C201" s="8" t="s">
        <v>313</v>
      </c>
      <c r="D201" s="26" t="s">
        <v>667</v>
      </c>
      <c r="E201" s="4" t="b">
        <f t="shared" si="1"/>
        <v>1</v>
      </c>
      <c r="F201" s="3">
        <f>IFERROR(__xludf.DUMMYFUNCTION("IF(COUNTIF($D$2:$D1000, D201)&gt;1, MATCH(D201, UNIQUE(FILTER($D$2:$D1000, COUNTIF($D$2:$D1000, $D$2:$D1000)&gt;1)), 0), """")"),69.0)</f>
        <v>69</v>
      </c>
      <c r="G201" s="8" t="s">
        <v>668</v>
      </c>
      <c r="H201" s="8" t="s">
        <v>669</v>
      </c>
      <c r="I201" s="8" t="s">
        <v>768</v>
      </c>
      <c r="J201" s="8" t="s">
        <v>769</v>
      </c>
    </row>
    <row r="202">
      <c r="A202" s="3">
        <v>10201.0</v>
      </c>
      <c r="B202" s="8" t="s">
        <v>312</v>
      </c>
      <c r="C202" s="8" t="s">
        <v>313</v>
      </c>
      <c r="D202" s="26" t="s">
        <v>770</v>
      </c>
      <c r="E202" s="4" t="b">
        <f t="shared" si="1"/>
        <v>0</v>
      </c>
      <c r="F202" s="3" t="str">
        <f>IFERROR(__xludf.DUMMYFUNCTION("IF(COUNTIF($D$2:$D1000, D202)&gt;1, MATCH(D202, UNIQUE(FILTER($D$2:$D1000, COUNTIF($D$2:$D1000, $D$2:$D1000)&gt;1)), 0), """")"),"")</f>
        <v/>
      </c>
      <c r="G202" s="8" t="s">
        <v>771</v>
      </c>
      <c r="H202" s="8" t="s">
        <v>772</v>
      </c>
      <c r="I202" s="8" t="s">
        <v>773</v>
      </c>
      <c r="J202" s="8" t="s">
        <v>774</v>
      </c>
    </row>
    <row r="203">
      <c r="A203" s="3">
        <v>10202.0</v>
      </c>
      <c r="B203" s="8" t="s">
        <v>312</v>
      </c>
      <c r="C203" s="8" t="s">
        <v>313</v>
      </c>
      <c r="D203" s="26" t="s">
        <v>82</v>
      </c>
      <c r="E203" s="4" t="b">
        <f t="shared" si="1"/>
        <v>1</v>
      </c>
      <c r="F203" s="3">
        <f>IFERROR(__xludf.DUMMYFUNCTION("IF(COUNTIF($D$2:$D1000, D203)&gt;1, MATCH(D203, UNIQUE(FILTER($D$2:$D1000, COUNTIF($D$2:$D1000, $D$2:$D1000)&gt;1)), 0), """")"),13.0)</f>
        <v>13</v>
      </c>
      <c r="G203" s="8" t="s">
        <v>83</v>
      </c>
      <c r="H203" s="8" t="s">
        <v>84</v>
      </c>
      <c r="I203" s="8" t="s">
        <v>775</v>
      </c>
      <c r="J203" s="8" t="s">
        <v>776</v>
      </c>
    </row>
    <row r="204">
      <c r="A204" s="3">
        <v>10203.0</v>
      </c>
      <c r="B204" s="8" t="s">
        <v>312</v>
      </c>
      <c r="C204" s="8" t="s">
        <v>313</v>
      </c>
      <c r="D204" s="26" t="s">
        <v>777</v>
      </c>
      <c r="E204" s="4" t="b">
        <f t="shared" si="1"/>
        <v>1</v>
      </c>
      <c r="F204" s="3">
        <f>IFERROR(__xludf.DUMMYFUNCTION("IF(COUNTIF($D$2:$D1000, D204)&gt;1, MATCH(D204, UNIQUE(FILTER($D$2:$D1000, COUNTIF($D$2:$D1000, $D$2:$D1000)&gt;1)), 0), """")"),77.0)</f>
        <v>77</v>
      </c>
      <c r="G204" s="8" t="s">
        <v>778</v>
      </c>
      <c r="H204" s="8" t="s">
        <v>779</v>
      </c>
      <c r="I204" s="8" t="s">
        <v>780</v>
      </c>
      <c r="J204" s="8" t="s">
        <v>781</v>
      </c>
    </row>
    <row r="205">
      <c r="A205" s="3">
        <v>10204.0</v>
      </c>
      <c r="B205" s="8" t="s">
        <v>312</v>
      </c>
      <c r="C205" s="8" t="s">
        <v>313</v>
      </c>
      <c r="D205" s="26" t="s">
        <v>782</v>
      </c>
      <c r="E205" s="4" t="b">
        <f t="shared" si="1"/>
        <v>0</v>
      </c>
      <c r="F205" s="3" t="str">
        <f>IFERROR(__xludf.DUMMYFUNCTION("IF(COUNTIF($D$2:$D1000, D205)&gt;1, MATCH(D205, UNIQUE(FILTER($D$2:$D1000, COUNTIF($D$2:$D1000, $D$2:$D1000)&gt;1)), 0), """")"),"")</f>
        <v/>
      </c>
      <c r="G205" s="8" t="s">
        <v>783</v>
      </c>
      <c r="H205" s="8" t="s">
        <v>784</v>
      </c>
      <c r="I205" s="8" t="s">
        <v>785</v>
      </c>
      <c r="J205" s="8" t="s">
        <v>786</v>
      </c>
    </row>
    <row r="206">
      <c r="A206" s="3">
        <v>10205.0</v>
      </c>
      <c r="B206" s="8" t="s">
        <v>295</v>
      </c>
      <c r="C206" s="8" t="s">
        <v>296</v>
      </c>
      <c r="D206" s="26" t="s">
        <v>643</v>
      </c>
      <c r="E206" s="4" t="b">
        <f t="shared" si="1"/>
        <v>1</v>
      </c>
      <c r="F206" s="3">
        <f>IFERROR(__xludf.DUMMYFUNCTION("IF(COUNTIF($D$2:$D1000, D206)&gt;1, MATCH(D206, UNIQUE(FILTER($D$2:$D1000, COUNTIF($D$2:$D1000, $D$2:$D1000)&gt;1)), 0), """")"),66.0)</f>
        <v>66</v>
      </c>
      <c r="G206" s="8" t="s">
        <v>644</v>
      </c>
      <c r="H206" s="8" t="s">
        <v>645</v>
      </c>
      <c r="I206" s="8" t="s">
        <v>787</v>
      </c>
      <c r="J206" s="8" t="s">
        <v>788</v>
      </c>
    </row>
    <row r="207">
      <c r="A207" s="3">
        <v>10206.0</v>
      </c>
      <c r="B207" s="8" t="s">
        <v>295</v>
      </c>
      <c r="C207" s="8" t="s">
        <v>296</v>
      </c>
      <c r="D207" s="26" t="s">
        <v>108</v>
      </c>
      <c r="E207" s="4" t="b">
        <f t="shared" si="1"/>
        <v>1</v>
      </c>
      <c r="F207" s="3">
        <f>IFERROR(__xludf.DUMMYFUNCTION("IF(COUNTIF($D$2:$D1000, D207)&gt;1, MATCH(D207, UNIQUE(FILTER($D$2:$D1000, COUNTIF($D$2:$D1000, $D$2:$D1000)&gt;1)), 0), """")"),16.0)</f>
        <v>16</v>
      </c>
      <c r="G207" s="8" t="s">
        <v>109</v>
      </c>
      <c r="H207" s="8" t="s">
        <v>110</v>
      </c>
      <c r="I207" s="8" t="s">
        <v>789</v>
      </c>
      <c r="J207" s="8" t="s">
        <v>790</v>
      </c>
    </row>
    <row r="208">
      <c r="A208" s="3">
        <v>10207.0</v>
      </c>
      <c r="B208" s="8" t="s">
        <v>295</v>
      </c>
      <c r="C208" s="8" t="s">
        <v>296</v>
      </c>
      <c r="D208" s="26" t="s">
        <v>791</v>
      </c>
      <c r="E208" s="4" t="b">
        <f t="shared" si="1"/>
        <v>1</v>
      </c>
      <c r="F208" s="3">
        <f>IFERROR(__xludf.DUMMYFUNCTION("IF(COUNTIF($D$2:$D1000, D208)&gt;1, MATCH(D208, UNIQUE(FILTER($D$2:$D1000, COUNTIF($D$2:$D1000, $D$2:$D1000)&gt;1)), 0), """")"),78.0)</f>
        <v>78</v>
      </c>
      <c r="G208" s="8" t="s">
        <v>792</v>
      </c>
      <c r="H208" s="8" t="s">
        <v>793</v>
      </c>
      <c r="I208" s="8" t="s">
        <v>794</v>
      </c>
      <c r="J208" s="8" t="s">
        <v>795</v>
      </c>
    </row>
    <row r="209">
      <c r="A209" s="3">
        <v>10208.0</v>
      </c>
      <c r="B209" s="8" t="s">
        <v>295</v>
      </c>
      <c r="C209" s="8" t="s">
        <v>296</v>
      </c>
      <c r="D209" s="26" t="s">
        <v>321</v>
      </c>
      <c r="E209" s="4" t="b">
        <f t="shared" si="1"/>
        <v>1</v>
      </c>
      <c r="F209" s="3">
        <f>IFERROR(__xludf.DUMMYFUNCTION("IF(COUNTIF($D$2:$D1000, D209)&gt;1, MATCH(D209, UNIQUE(FILTER($D$2:$D1000, COUNTIF($D$2:$D1000, $D$2:$D1000)&gt;1)), 0), """")"),29.0)</f>
        <v>29</v>
      </c>
      <c r="G209" s="8" t="s">
        <v>322</v>
      </c>
      <c r="H209" s="8" t="s">
        <v>321</v>
      </c>
      <c r="I209" s="8" t="s">
        <v>796</v>
      </c>
      <c r="J209" s="8" t="s">
        <v>797</v>
      </c>
    </row>
    <row r="210">
      <c r="A210" s="3">
        <v>10209.0</v>
      </c>
      <c r="B210" s="8" t="s">
        <v>295</v>
      </c>
      <c r="C210" s="8" t="s">
        <v>296</v>
      </c>
      <c r="D210" s="26" t="s">
        <v>331</v>
      </c>
      <c r="E210" s="4" t="b">
        <f t="shared" si="1"/>
        <v>1</v>
      </c>
      <c r="F210" s="3">
        <f>IFERROR(__xludf.DUMMYFUNCTION("IF(COUNTIF($D$2:$D1000, D210)&gt;1, MATCH(D210, UNIQUE(FILTER($D$2:$D1000, COUNTIF($D$2:$D1000, $D$2:$D1000)&gt;1)), 0), """")"),31.0)</f>
        <v>31</v>
      </c>
      <c r="G210" s="8" t="s">
        <v>332</v>
      </c>
      <c r="H210" s="8" t="s">
        <v>331</v>
      </c>
      <c r="I210" s="8" t="s">
        <v>798</v>
      </c>
      <c r="J210" s="8" t="s">
        <v>799</v>
      </c>
    </row>
    <row r="211">
      <c r="A211" s="3">
        <v>10210.0</v>
      </c>
      <c r="B211" s="8" t="s">
        <v>295</v>
      </c>
      <c r="C211" s="8" t="s">
        <v>296</v>
      </c>
      <c r="D211" s="26" t="s">
        <v>304</v>
      </c>
      <c r="E211" s="4" t="b">
        <f t="shared" si="1"/>
        <v>1</v>
      </c>
      <c r="F211" s="3">
        <f>IFERROR(__xludf.DUMMYFUNCTION("IF(COUNTIF($D$2:$D1000, D211)&gt;1, MATCH(D211, UNIQUE(FILTER($D$2:$D1000, COUNTIF($D$2:$D1000, $D$2:$D1000)&gt;1)), 0), """")"),27.0)</f>
        <v>27</v>
      </c>
      <c r="G211" s="8" t="s">
        <v>305</v>
      </c>
      <c r="H211" s="8" t="s">
        <v>304</v>
      </c>
      <c r="I211" s="8" t="s">
        <v>800</v>
      </c>
      <c r="J211" s="8" t="s">
        <v>801</v>
      </c>
    </row>
    <row r="212">
      <c r="A212" s="3">
        <v>10211.0</v>
      </c>
      <c r="B212" s="8" t="s">
        <v>295</v>
      </c>
      <c r="C212" s="8" t="s">
        <v>296</v>
      </c>
      <c r="D212" s="26" t="s">
        <v>72</v>
      </c>
      <c r="E212" s="4" t="b">
        <f t="shared" si="1"/>
        <v>1</v>
      </c>
      <c r="F212" s="3">
        <f>IFERROR(__xludf.DUMMYFUNCTION("IF(COUNTIF($D$2:$D1000, D212)&gt;1, MATCH(D212, UNIQUE(FILTER($D$2:$D1000, COUNTIF($D$2:$D1000, $D$2:$D1000)&gt;1)), 0), """")"),11.0)</f>
        <v>11</v>
      </c>
      <c r="G212" s="8" t="s">
        <v>73</v>
      </c>
      <c r="H212" s="8" t="s">
        <v>74</v>
      </c>
      <c r="I212" s="8" t="s">
        <v>802</v>
      </c>
      <c r="J212" s="8" t="s">
        <v>803</v>
      </c>
    </row>
    <row r="213">
      <c r="A213" s="3">
        <v>10212.0</v>
      </c>
      <c r="B213" s="8" t="s">
        <v>295</v>
      </c>
      <c r="C213" s="8" t="s">
        <v>296</v>
      </c>
      <c r="D213" s="11" t="s">
        <v>149</v>
      </c>
      <c r="E213" s="4" t="b">
        <f t="shared" si="1"/>
        <v>1</v>
      </c>
      <c r="F213" s="3">
        <f>IFERROR(__xludf.DUMMYFUNCTION("IF(COUNTIF($D$2:$D1000, D213)&gt;1, MATCH(D213, UNIQUE(FILTER($D$2:$D1000, COUNTIF($D$2:$D1000, $D$2:$D1000)&gt;1)), 0), """")"),19.0)</f>
        <v>19</v>
      </c>
      <c r="G213" s="6" t="s">
        <v>150</v>
      </c>
      <c r="H213" s="5" t="s">
        <v>151</v>
      </c>
      <c r="I213" s="8" t="s">
        <v>804</v>
      </c>
      <c r="J213" s="8" t="s">
        <v>805</v>
      </c>
    </row>
    <row r="214">
      <c r="A214" s="3">
        <v>10213.0</v>
      </c>
      <c r="B214" s="8" t="s">
        <v>295</v>
      </c>
      <c r="C214" s="8" t="s">
        <v>296</v>
      </c>
      <c r="D214" s="26" t="s">
        <v>806</v>
      </c>
      <c r="E214" s="4" t="b">
        <f t="shared" si="1"/>
        <v>0</v>
      </c>
      <c r="F214" s="3" t="str">
        <f>IFERROR(__xludf.DUMMYFUNCTION("IF(COUNTIF($D$2:$D1000, D214)&gt;1, MATCH(D214, UNIQUE(FILTER($D$2:$D1000, COUNTIF($D$2:$D1000, $D$2:$D1000)&gt;1)), 0), """")"),"")</f>
        <v/>
      </c>
      <c r="G214" s="8" t="s">
        <v>807</v>
      </c>
      <c r="H214" s="8" t="s">
        <v>808</v>
      </c>
      <c r="I214" s="8" t="s">
        <v>809</v>
      </c>
      <c r="J214" s="8" t="s">
        <v>810</v>
      </c>
    </row>
    <row r="215">
      <c r="A215" s="3">
        <v>10214.0</v>
      </c>
      <c r="B215" s="8" t="s">
        <v>295</v>
      </c>
      <c r="C215" s="8" t="s">
        <v>296</v>
      </c>
      <c r="D215" s="26" t="s">
        <v>811</v>
      </c>
      <c r="E215" s="4" t="b">
        <f t="shared" si="1"/>
        <v>0</v>
      </c>
      <c r="F215" s="3" t="str">
        <f>IFERROR(__xludf.DUMMYFUNCTION("IF(COUNTIF($D$2:$D1000, D215)&gt;1, MATCH(D215, UNIQUE(FILTER($D$2:$D1000, COUNTIF($D$2:$D1000, $D$2:$D1000)&gt;1)), 0), """")"),"")</f>
        <v/>
      </c>
      <c r="G215" s="8" t="s">
        <v>812</v>
      </c>
      <c r="H215" s="8" t="s">
        <v>813</v>
      </c>
      <c r="I215" s="8" t="s">
        <v>814</v>
      </c>
      <c r="J215" s="8" t="s">
        <v>815</v>
      </c>
    </row>
    <row r="216">
      <c r="A216" s="3">
        <v>10215.0</v>
      </c>
      <c r="B216" s="8" t="s">
        <v>295</v>
      </c>
      <c r="C216" s="8" t="s">
        <v>296</v>
      </c>
      <c r="D216" s="26" t="s">
        <v>816</v>
      </c>
      <c r="E216" s="4" t="b">
        <f t="shared" si="1"/>
        <v>1</v>
      </c>
      <c r="F216" s="3">
        <f>IFERROR(__xludf.DUMMYFUNCTION("IF(COUNTIF($D$2:$D1000, D216)&gt;1, MATCH(D216, UNIQUE(FILTER($D$2:$D1000, COUNTIF($D$2:$D1000, $D$2:$D1000)&gt;1)), 0), """")"),79.0)</f>
        <v>79</v>
      </c>
      <c r="G216" s="8" t="s">
        <v>817</v>
      </c>
      <c r="H216" s="8" t="s">
        <v>818</v>
      </c>
      <c r="I216" s="8" t="s">
        <v>819</v>
      </c>
      <c r="J216" s="8" t="s">
        <v>820</v>
      </c>
    </row>
    <row r="217">
      <c r="A217" s="3">
        <v>10216.0</v>
      </c>
      <c r="B217" s="8" t="s">
        <v>295</v>
      </c>
      <c r="C217" s="8" t="s">
        <v>296</v>
      </c>
      <c r="D217" s="26" t="s">
        <v>335</v>
      </c>
      <c r="E217" s="4" t="b">
        <f t="shared" si="1"/>
        <v>1</v>
      </c>
      <c r="F217" s="3">
        <f>IFERROR(__xludf.DUMMYFUNCTION("IF(COUNTIF($D$2:$D1000, D217)&gt;1, MATCH(D217, UNIQUE(FILTER($D$2:$D1000, COUNTIF($D$2:$D1000, $D$2:$D1000)&gt;1)), 0), """")"),32.0)</f>
        <v>32</v>
      </c>
      <c r="G217" s="8" t="s">
        <v>336</v>
      </c>
      <c r="H217" s="8" t="s">
        <v>337</v>
      </c>
      <c r="I217" s="8" t="s">
        <v>821</v>
      </c>
      <c r="J217" s="8" t="s">
        <v>822</v>
      </c>
    </row>
    <row r="218">
      <c r="A218" s="3">
        <v>10217.0</v>
      </c>
      <c r="B218" s="8" t="s">
        <v>295</v>
      </c>
      <c r="C218" s="8" t="s">
        <v>296</v>
      </c>
      <c r="D218" s="26" t="s">
        <v>823</v>
      </c>
      <c r="E218" s="4" t="b">
        <f t="shared" si="1"/>
        <v>1</v>
      </c>
      <c r="F218" s="3">
        <f>IFERROR(__xludf.DUMMYFUNCTION("IF(COUNTIF($D$2:$D1000, D218)&gt;1, MATCH(D218, UNIQUE(FILTER($D$2:$D1000, COUNTIF($D$2:$D1000, $D$2:$D1000)&gt;1)), 0), """")"),80.0)</f>
        <v>80</v>
      </c>
      <c r="G218" s="8" t="s">
        <v>824</v>
      </c>
      <c r="H218" s="8" t="s">
        <v>825</v>
      </c>
      <c r="I218" s="8" t="s">
        <v>826</v>
      </c>
      <c r="J218" s="8" t="s">
        <v>827</v>
      </c>
    </row>
    <row r="219">
      <c r="A219" s="3">
        <v>10218.0</v>
      </c>
      <c r="B219" s="8" t="s">
        <v>295</v>
      </c>
      <c r="C219" s="8" t="s">
        <v>296</v>
      </c>
      <c r="D219" s="26" t="s">
        <v>523</v>
      </c>
      <c r="E219" s="4" t="b">
        <f t="shared" si="1"/>
        <v>1</v>
      </c>
      <c r="F219" s="3">
        <f>IFERROR(__xludf.DUMMYFUNCTION("IF(COUNTIF($D$2:$D1000, D219)&gt;1, MATCH(D219, UNIQUE(FILTER($D$2:$D1000, COUNTIF($D$2:$D1000, $D$2:$D1000)&gt;1)), 0), """")"),52.0)</f>
        <v>52</v>
      </c>
      <c r="G219" s="8" t="s">
        <v>524</v>
      </c>
      <c r="H219" s="8" t="s">
        <v>525</v>
      </c>
      <c r="I219" s="8" t="s">
        <v>828</v>
      </c>
      <c r="J219" s="8" t="s">
        <v>829</v>
      </c>
    </row>
    <row r="220">
      <c r="A220" s="3">
        <v>10219.0</v>
      </c>
      <c r="B220" s="8" t="s">
        <v>295</v>
      </c>
      <c r="C220" s="8" t="s">
        <v>296</v>
      </c>
      <c r="D220" s="26" t="s">
        <v>830</v>
      </c>
      <c r="E220" s="4" t="b">
        <f t="shared" si="1"/>
        <v>0</v>
      </c>
      <c r="F220" s="3" t="str">
        <f>IFERROR(__xludf.DUMMYFUNCTION("IF(COUNTIF($D$2:$D1000, D220)&gt;1, MATCH(D220, UNIQUE(FILTER($D$2:$D1000, COUNTIF($D$2:$D1000, $D$2:$D1000)&gt;1)), 0), """")"),"")</f>
        <v/>
      </c>
      <c r="G220" s="8" t="s">
        <v>831</v>
      </c>
      <c r="H220" s="8" t="s">
        <v>830</v>
      </c>
      <c r="I220" s="8" t="s">
        <v>832</v>
      </c>
      <c r="J220" s="8" t="s">
        <v>833</v>
      </c>
    </row>
    <row r="221">
      <c r="A221" s="3">
        <v>10220.0</v>
      </c>
      <c r="B221" s="8" t="s">
        <v>295</v>
      </c>
      <c r="C221" s="8" t="s">
        <v>296</v>
      </c>
      <c r="D221" s="26" t="s">
        <v>834</v>
      </c>
      <c r="E221" s="4" t="b">
        <f t="shared" si="1"/>
        <v>1</v>
      </c>
      <c r="F221" s="3">
        <f>IFERROR(__xludf.DUMMYFUNCTION("IF(COUNTIF($D$2:$D1000, D221)&gt;1, MATCH(D221, UNIQUE(FILTER($D$2:$D1000, COUNTIF($D$2:$D1000, $D$2:$D1000)&gt;1)), 0), """")"),81.0)</f>
        <v>81</v>
      </c>
      <c r="G221" s="8" t="s">
        <v>835</v>
      </c>
      <c r="H221" s="8" t="s">
        <v>836</v>
      </c>
      <c r="I221" s="8" t="s">
        <v>837</v>
      </c>
      <c r="J221" s="8" t="s">
        <v>838</v>
      </c>
    </row>
    <row r="222">
      <c r="A222" s="3">
        <v>10221.0</v>
      </c>
      <c r="B222" s="8" t="s">
        <v>8</v>
      </c>
      <c r="C222" s="8" t="s">
        <v>9</v>
      </c>
      <c r="D222" s="26" t="s">
        <v>178</v>
      </c>
      <c r="E222" s="4" t="b">
        <f t="shared" si="1"/>
        <v>1</v>
      </c>
      <c r="F222" s="3">
        <f>IFERROR(__xludf.DUMMYFUNCTION("IF(COUNTIF($D$2:$D1000, D222)&gt;1, MATCH(D222, UNIQUE(FILTER($D$2:$D1000, COUNTIF($D$2:$D1000, $D$2:$D1000)&gt;1)), 0), """")"),20.0)</f>
        <v>20</v>
      </c>
      <c r="G222" s="8" t="s">
        <v>179</v>
      </c>
      <c r="H222" s="8" t="s">
        <v>178</v>
      </c>
      <c r="I222" s="8" t="s">
        <v>839</v>
      </c>
      <c r="J222" s="8" t="s">
        <v>840</v>
      </c>
    </row>
    <row r="223">
      <c r="A223" s="3">
        <v>10222.0</v>
      </c>
      <c r="B223" s="8" t="s">
        <v>8</v>
      </c>
      <c r="C223" s="8" t="s">
        <v>9</v>
      </c>
      <c r="D223" s="26" t="s">
        <v>841</v>
      </c>
      <c r="E223" s="4" t="b">
        <f t="shared" si="1"/>
        <v>0</v>
      </c>
      <c r="F223" s="3" t="str">
        <f>IFERROR(__xludf.DUMMYFUNCTION("IF(COUNTIF($D$2:$D1000, D223)&gt;1, MATCH(D223, UNIQUE(FILTER($D$2:$D1000, COUNTIF($D$2:$D1000, $D$2:$D1000)&gt;1)), 0), """")"),"")</f>
        <v/>
      </c>
      <c r="G223" s="8" t="s">
        <v>842</v>
      </c>
      <c r="H223" s="8" t="s">
        <v>843</v>
      </c>
      <c r="I223" s="8" t="s">
        <v>844</v>
      </c>
      <c r="J223" s="8" t="s">
        <v>845</v>
      </c>
    </row>
    <row r="224">
      <c r="A224" s="3">
        <v>10223.0</v>
      </c>
      <c r="B224" s="8" t="s">
        <v>8</v>
      </c>
      <c r="C224" s="8" t="s">
        <v>9</v>
      </c>
      <c r="D224" s="26" t="s">
        <v>592</v>
      </c>
      <c r="E224" s="4" t="b">
        <f t="shared" si="1"/>
        <v>1</v>
      </c>
      <c r="F224" s="3">
        <f>IFERROR(__xludf.DUMMYFUNCTION("IF(COUNTIF($D$2:$D1000, D224)&gt;1, MATCH(D224, UNIQUE(FILTER($D$2:$D1000, COUNTIF($D$2:$D1000, $D$2:$D1000)&gt;1)), 0), """")"),63.0)</f>
        <v>63</v>
      </c>
      <c r="G224" s="8" t="s">
        <v>593</v>
      </c>
      <c r="H224" s="8" t="s">
        <v>594</v>
      </c>
      <c r="I224" s="8" t="s">
        <v>846</v>
      </c>
      <c r="J224" s="8" t="s">
        <v>847</v>
      </c>
    </row>
    <row r="225">
      <c r="A225" s="3">
        <v>10224.0</v>
      </c>
      <c r="B225" s="8" t="s">
        <v>8</v>
      </c>
      <c r="C225" s="8" t="s">
        <v>9</v>
      </c>
      <c r="D225" s="26" t="s">
        <v>848</v>
      </c>
      <c r="E225" s="4" t="b">
        <f t="shared" si="1"/>
        <v>0</v>
      </c>
      <c r="F225" s="3" t="str">
        <f>IFERROR(__xludf.DUMMYFUNCTION("IF(COUNTIF($D$2:$D1000, D225)&gt;1, MATCH(D225, UNIQUE(FILTER($D$2:$D1000, COUNTIF($D$2:$D1000, $D$2:$D1000)&gt;1)), 0), """")"),"")</f>
        <v/>
      </c>
      <c r="G225" s="8" t="s">
        <v>849</v>
      </c>
      <c r="H225" s="8" t="s">
        <v>850</v>
      </c>
      <c r="I225" s="8" t="s">
        <v>851</v>
      </c>
      <c r="J225" s="8" t="s">
        <v>852</v>
      </c>
    </row>
    <row r="226">
      <c r="A226" s="3">
        <v>10225.0</v>
      </c>
      <c r="B226" s="8" t="s">
        <v>8</v>
      </c>
      <c r="C226" s="8" t="s">
        <v>9</v>
      </c>
      <c r="D226" s="26" t="s">
        <v>235</v>
      </c>
      <c r="E226" s="4" t="b">
        <f t="shared" si="1"/>
        <v>1</v>
      </c>
      <c r="F226" s="3">
        <f>IFERROR(__xludf.DUMMYFUNCTION("IF(COUNTIF($D$2:$D1000, D226)&gt;1, MATCH(D226, UNIQUE(FILTER($D$2:$D1000, COUNTIF($D$2:$D1000, $D$2:$D1000)&gt;1)), 0), """")"),22.0)</f>
        <v>22</v>
      </c>
      <c r="G226" s="8" t="s">
        <v>236</v>
      </c>
      <c r="H226" s="8" t="s">
        <v>237</v>
      </c>
      <c r="I226" s="8" t="s">
        <v>853</v>
      </c>
      <c r="J226" s="8" t="s">
        <v>854</v>
      </c>
    </row>
    <row r="227">
      <c r="A227" s="3">
        <v>10226.0</v>
      </c>
      <c r="B227" s="8" t="s">
        <v>8</v>
      </c>
      <c r="C227" s="8" t="s">
        <v>9</v>
      </c>
      <c r="D227" s="26" t="s">
        <v>484</v>
      </c>
      <c r="E227" s="4" t="b">
        <f t="shared" si="1"/>
        <v>1</v>
      </c>
      <c r="F227" s="3">
        <f>IFERROR(__xludf.DUMMYFUNCTION("IF(COUNTIF($D$2:$D1000, D227)&gt;1, MATCH(D227, UNIQUE(FILTER($D$2:$D1000, COUNTIF($D$2:$D1000, $D$2:$D1000)&gt;1)), 0), """")"),48.0)</f>
        <v>48</v>
      </c>
      <c r="G227" s="8" t="s">
        <v>485</v>
      </c>
      <c r="H227" s="8" t="s">
        <v>484</v>
      </c>
      <c r="I227" s="8" t="s">
        <v>855</v>
      </c>
      <c r="J227" s="8" t="s">
        <v>856</v>
      </c>
    </row>
    <row r="228">
      <c r="A228" s="3">
        <v>10227.0</v>
      </c>
      <c r="B228" s="8" t="s">
        <v>8</v>
      </c>
      <c r="C228" s="8" t="s">
        <v>9</v>
      </c>
      <c r="D228" s="26" t="s">
        <v>268</v>
      </c>
      <c r="E228" s="4" t="b">
        <f t="shared" si="1"/>
        <v>1</v>
      </c>
      <c r="F228" s="3">
        <f>IFERROR(__xludf.DUMMYFUNCTION("IF(COUNTIF($D$2:$D1000, D228)&gt;1, MATCH(D228, UNIQUE(FILTER($D$2:$D1000, COUNTIF($D$2:$D1000, $D$2:$D1000)&gt;1)), 0), """")"),24.0)</f>
        <v>24</v>
      </c>
      <c r="G228" s="8" t="s">
        <v>269</v>
      </c>
      <c r="H228" s="8" t="s">
        <v>270</v>
      </c>
      <c r="I228" s="8" t="s">
        <v>857</v>
      </c>
      <c r="J228" s="8" t="s">
        <v>858</v>
      </c>
    </row>
    <row r="229">
      <c r="A229" s="10">
        <v>10228.0</v>
      </c>
      <c r="B229" s="8" t="s">
        <v>312</v>
      </c>
      <c r="C229" s="8" t="s">
        <v>313</v>
      </c>
      <c r="D229" s="26" t="s">
        <v>859</v>
      </c>
      <c r="E229" s="7" t="b">
        <f t="shared" si="1"/>
        <v>0</v>
      </c>
      <c r="F229" s="10" t="str">
        <f>IFERROR(__xludf.DUMMYFUNCTION("IF(COUNTIF($D$2:$D1000, D229)&gt;1, MATCH(D229, UNIQUE(FILTER($D$2:$D1000, COUNTIF($D$2:$D1000, $D$2:$D1000)&gt;1)), 0), """")"),"")</f>
        <v/>
      </c>
      <c r="G229" s="8" t="s">
        <v>860</v>
      </c>
      <c r="H229" s="8" t="s">
        <v>861</v>
      </c>
      <c r="I229" s="8" t="s">
        <v>862</v>
      </c>
      <c r="J229" s="8" t="s">
        <v>863</v>
      </c>
    </row>
    <row r="230">
      <c r="A230" s="3">
        <v>10229.0</v>
      </c>
      <c r="B230" s="8" t="s">
        <v>8</v>
      </c>
      <c r="C230" s="8" t="s">
        <v>9</v>
      </c>
      <c r="D230" s="26" t="s">
        <v>864</v>
      </c>
      <c r="E230" s="4" t="b">
        <f t="shared" si="1"/>
        <v>1</v>
      </c>
      <c r="F230" s="3">
        <f>IFERROR(__xludf.DUMMYFUNCTION("IF(COUNTIF($D$2:$D1000, D230)&gt;1, MATCH(D230, UNIQUE(FILTER($D$2:$D1000, COUNTIF($D$2:$D1000, $D$2:$D1000)&gt;1)), 0), """")"),82.0)</f>
        <v>82</v>
      </c>
      <c r="G230" s="8" t="s">
        <v>382</v>
      </c>
      <c r="H230" s="8" t="s">
        <v>383</v>
      </c>
      <c r="I230" s="8" t="s">
        <v>865</v>
      </c>
      <c r="J230" s="8" t="s">
        <v>866</v>
      </c>
    </row>
    <row r="231">
      <c r="A231" s="3">
        <v>10230.0</v>
      </c>
      <c r="B231" s="8" t="s">
        <v>8</v>
      </c>
      <c r="C231" s="8" t="s">
        <v>9</v>
      </c>
      <c r="D231" s="26" t="s">
        <v>867</v>
      </c>
      <c r="E231" s="4" t="b">
        <f t="shared" si="1"/>
        <v>0</v>
      </c>
      <c r="F231" s="3" t="str">
        <f>IFERROR(__xludf.DUMMYFUNCTION("IF(COUNTIF($D$2:$D1000, D231)&gt;1, MATCH(D231, UNIQUE(FILTER($D$2:$D1000, COUNTIF($D$2:$D1000, $D$2:$D1000)&gt;1)), 0), """")"),"")</f>
        <v/>
      </c>
      <c r="G231" s="8" t="s">
        <v>868</v>
      </c>
      <c r="H231" s="8" t="s">
        <v>869</v>
      </c>
      <c r="I231" s="8" t="s">
        <v>870</v>
      </c>
      <c r="J231" s="8" t="s">
        <v>871</v>
      </c>
    </row>
    <row r="232">
      <c r="A232" s="3">
        <v>10231.0</v>
      </c>
      <c r="B232" s="8" t="s">
        <v>8</v>
      </c>
      <c r="C232" s="8" t="s">
        <v>9</v>
      </c>
      <c r="D232" s="26" t="s">
        <v>872</v>
      </c>
      <c r="E232" s="4" t="b">
        <f t="shared" si="1"/>
        <v>0</v>
      </c>
      <c r="F232" s="3" t="str">
        <f>IFERROR(__xludf.DUMMYFUNCTION("IF(COUNTIF($D$2:$D1000, D232)&gt;1, MATCH(D232, UNIQUE(FILTER($D$2:$D1000, COUNTIF($D$2:$D1000, $D$2:$D1000)&gt;1)), 0), """")"),"")</f>
        <v/>
      </c>
      <c r="G232" s="8" t="s">
        <v>873</v>
      </c>
      <c r="H232" s="8" t="s">
        <v>874</v>
      </c>
      <c r="I232" s="8" t="s">
        <v>875</v>
      </c>
      <c r="J232" s="8" t="s">
        <v>876</v>
      </c>
    </row>
    <row r="233">
      <c r="A233" s="3">
        <v>10232.0</v>
      </c>
      <c r="B233" s="8" t="s">
        <v>8</v>
      </c>
      <c r="C233" s="8" t="s">
        <v>9</v>
      </c>
      <c r="D233" s="26" t="s">
        <v>877</v>
      </c>
      <c r="E233" s="4" t="b">
        <f t="shared" si="1"/>
        <v>0</v>
      </c>
      <c r="F233" s="3" t="str">
        <f>IFERROR(__xludf.DUMMYFUNCTION("IF(COUNTIF($D$2:$D1000, D233)&gt;1, MATCH(D233, UNIQUE(FILTER($D$2:$D1000, COUNTIF($D$2:$D1000, $D$2:$D1000)&gt;1)), 0), """")"),"")</f>
        <v/>
      </c>
      <c r="G233" s="8" t="s">
        <v>878</v>
      </c>
      <c r="H233" s="8" t="s">
        <v>879</v>
      </c>
      <c r="I233" s="8" t="s">
        <v>880</v>
      </c>
      <c r="J233" s="8" t="s">
        <v>881</v>
      </c>
    </row>
    <row r="234">
      <c r="A234" s="3">
        <v>10233.0</v>
      </c>
      <c r="B234" s="8" t="s">
        <v>8</v>
      </c>
      <c r="C234" s="8" t="s">
        <v>9</v>
      </c>
      <c r="D234" s="26" t="s">
        <v>882</v>
      </c>
      <c r="E234" s="4" t="b">
        <f t="shared" si="1"/>
        <v>1</v>
      </c>
      <c r="F234" s="3">
        <f>IFERROR(__xludf.DUMMYFUNCTION("IF(COUNTIF($D$2:$D1000, D234)&gt;1, MATCH(D234, UNIQUE(FILTER($D$2:$D1000, COUNTIF($D$2:$D1000, $D$2:$D1000)&gt;1)), 0), """")"),83.0)</f>
        <v>83</v>
      </c>
      <c r="G234" s="8" t="s">
        <v>883</v>
      </c>
      <c r="H234" s="8" t="s">
        <v>884</v>
      </c>
      <c r="I234" s="8" t="s">
        <v>885</v>
      </c>
      <c r="J234" s="8" t="s">
        <v>886</v>
      </c>
    </row>
    <row r="235">
      <c r="A235" s="3">
        <v>10234.0</v>
      </c>
      <c r="B235" s="8" t="s">
        <v>8</v>
      </c>
      <c r="C235" s="8" t="s">
        <v>9</v>
      </c>
      <c r="D235" s="26" t="s">
        <v>35</v>
      </c>
      <c r="E235" s="4" t="b">
        <f t="shared" si="1"/>
        <v>1</v>
      </c>
      <c r="F235" s="3">
        <f>IFERROR(__xludf.DUMMYFUNCTION("IF(COUNTIF($D$2:$D1000, D235)&gt;1, MATCH(D235, UNIQUE(FILTER($D$2:$D1000, COUNTIF($D$2:$D1000, $D$2:$D1000)&gt;1)), 0), """")"),6.0)</f>
        <v>6</v>
      </c>
      <c r="G235" s="8" t="s">
        <v>887</v>
      </c>
      <c r="H235" s="8" t="s">
        <v>888</v>
      </c>
      <c r="I235" s="8" t="s">
        <v>889</v>
      </c>
      <c r="J235" s="8" t="s">
        <v>890</v>
      </c>
    </row>
    <row r="236">
      <c r="A236" s="3">
        <v>10235.0</v>
      </c>
      <c r="B236" s="8" t="s">
        <v>8</v>
      </c>
      <c r="C236" s="8" t="s">
        <v>9</v>
      </c>
      <c r="D236" s="26" t="s">
        <v>96</v>
      </c>
      <c r="E236" s="4" t="b">
        <f t="shared" si="1"/>
        <v>1</v>
      </c>
      <c r="F236" s="3">
        <f>IFERROR(__xludf.DUMMYFUNCTION("IF(COUNTIF($D$2:$D1000, D236)&gt;1, MATCH(D236, UNIQUE(FILTER($D$2:$D1000, COUNTIF($D$2:$D1000, $D$2:$D1000)&gt;1)), 0), """")"),14.0)</f>
        <v>14</v>
      </c>
      <c r="G236" s="8" t="s">
        <v>97</v>
      </c>
      <c r="H236" s="8" t="s">
        <v>98</v>
      </c>
      <c r="I236" s="8" t="s">
        <v>891</v>
      </c>
      <c r="J236" s="8" t="s">
        <v>892</v>
      </c>
    </row>
    <row r="237">
      <c r="A237" s="3">
        <v>10236.0</v>
      </c>
      <c r="B237" s="8" t="s">
        <v>8</v>
      </c>
      <c r="C237" s="8" t="s">
        <v>9</v>
      </c>
      <c r="D237" s="26" t="s">
        <v>366</v>
      </c>
      <c r="E237" s="4" t="b">
        <f t="shared" si="1"/>
        <v>1</v>
      </c>
      <c r="F237" s="3">
        <f>IFERROR(__xludf.DUMMYFUNCTION("IF(COUNTIF($D$2:$D1000, D237)&gt;1, MATCH(D237, UNIQUE(FILTER($D$2:$D1000, COUNTIF($D$2:$D1000, $D$2:$D1000)&gt;1)), 0), """")"),36.0)</f>
        <v>36</v>
      </c>
      <c r="G237" s="8" t="s">
        <v>367</v>
      </c>
      <c r="H237" s="8" t="s">
        <v>368</v>
      </c>
      <c r="I237" s="8" t="s">
        <v>893</v>
      </c>
      <c r="J237" s="8" t="s">
        <v>894</v>
      </c>
    </row>
    <row r="238">
      <c r="A238" s="3">
        <v>10237.0</v>
      </c>
      <c r="B238" s="8" t="s">
        <v>8</v>
      </c>
      <c r="C238" s="8" t="s">
        <v>9</v>
      </c>
      <c r="D238" s="26" t="s">
        <v>484</v>
      </c>
      <c r="E238" s="4" t="b">
        <f t="shared" si="1"/>
        <v>1</v>
      </c>
      <c r="F238" s="3">
        <f>IFERROR(__xludf.DUMMYFUNCTION("IF(COUNTIF($D$2:$D1000, D238)&gt;1, MATCH(D238, UNIQUE(FILTER($D$2:$D1000, COUNTIF($D$2:$D1000, $D$2:$D1000)&gt;1)), 0), """")"),48.0)</f>
        <v>48</v>
      </c>
      <c r="G238" s="8" t="s">
        <v>485</v>
      </c>
      <c r="H238" s="8" t="s">
        <v>484</v>
      </c>
      <c r="I238" s="8" t="s">
        <v>895</v>
      </c>
      <c r="J238" s="8" t="s">
        <v>896</v>
      </c>
    </row>
    <row r="239">
      <c r="A239" s="3">
        <v>10238.0</v>
      </c>
      <c r="B239" s="8" t="s">
        <v>8</v>
      </c>
      <c r="C239" s="8" t="s">
        <v>9</v>
      </c>
      <c r="D239" s="26" t="s">
        <v>897</v>
      </c>
      <c r="E239" s="4" t="b">
        <f t="shared" si="1"/>
        <v>1</v>
      </c>
      <c r="F239" s="3">
        <f>IFERROR(__xludf.DUMMYFUNCTION("IF(COUNTIF($D$2:$D1000, D239)&gt;1, MATCH(D239, UNIQUE(FILTER($D$2:$D1000, COUNTIF($D$2:$D1000, $D$2:$D1000)&gt;1)), 0), """")"),84.0)</f>
        <v>84</v>
      </c>
      <c r="G239" s="8" t="s">
        <v>898</v>
      </c>
      <c r="H239" s="8" t="s">
        <v>899</v>
      </c>
      <c r="I239" s="8" t="s">
        <v>900</v>
      </c>
      <c r="J239" s="8" t="s">
        <v>901</v>
      </c>
    </row>
    <row r="240">
      <c r="A240" s="3">
        <v>10239.0</v>
      </c>
      <c r="B240" s="8" t="s">
        <v>8</v>
      </c>
      <c r="C240" s="8" t="s">
        <v>9</v>
      </c>
      <c r="D240" s="26" t="s">
        <v>263</v>
      </c>
      <c r="E240" s="4" t="b">
        <f t="shared" si="1"/>
        <v>1</v>
      </c>
      <c r="F240" s="3">
        <f>IFERROR(__xludf.DUMMYFUNCTION("IF(COUNTIF($D$2:$D1000, D240)&gt;1, MATCH(D240, UNIQUE(FILTER($D$2:$D1000, COUNTIF($D$2:$D1000, $D$2:$D1000)&gt;1)), 0), """")"),23.0)</f>
        <v>23</v>
      </c>
      <c r="G240" s="8" t="s">
        <v>264</v>
      </c>
      <c r="H240" s="8" t="s">
        <v>265</v>
      </c>
      <c r="I240" s="8" t="s">
        <v>902</v>
      </c>
      <c r="J240" s="8" t="s">
        <v>903</v>
      </c>
    </row>
    <row r="241">
      <c r="A241" s="3">
        <v>10240.0</v>
      </c>
      <c r="B241" s="8" t="s">
        <v>8</v>
      </c>
      <c r="C241" s="8" t="s">
        <v>9</v>
      </c>
      <c r="D241" s="26" t="s">
        <v>304</v>
      </c>
      <c r="E241" s="4" t="b">
        <f t="shared" si="1"/>
        <v>1</v>
      </c>
      <c r="F241" s="3">
        <f>IFERROR(__xludf.DUMMYFUNCTION("IF(COUNTIF($D$2:$D1000, D241)&gt;1, MATCH(D241, UNIQUE(FILTER($D$2:$D1000, COUNTIF($D$2:$D1000, $D$2:$D1000)&gt;1)), 0), """")"),27.0)</f>
        <v>27</v>
      </c>
      <c r="G241" s="8" t="s">
        <v>305</v>
      </c>
      <c r="H241" s="8" t="s">
        <v>304</v>
      </c>
      <c r="I241" s="8" t="s">
        <v>904</v>
      </c>
      <c r="J241" s="8" t="s">
        <v>905</v>
      </c>
    </row>
    <row r="242">
      <c r="A242" s="10">
        <v>10241.0</v>
      </c>
      <c r="B242" s="8" t="s">
        <v>302</v>
      </c>
      <c r="C242" s="8" t="s">
        <v>303</v>
      </c>
      <c r="D242" s="26" t="s">
        <v>906</v>
      </c>
      <c r="E242" s="7" t="b">
        <f t="shared" si="1"/>
        <v>0</v>
      </c>
      <c r="F242" s="10" t="str">
        <f>IFERROR(__xludf.DUMMYFUNCTION("IF(COUNTIF($D$2:$D1000, D242)&gt;1, MATCH(D242, UNIQUE(FILTER($D$2:$D1000, COUNTIF($D$2:$D1000, $D$2:$D1000)&gt;1)), 0), """")"),"")</f>
        <v/>
      </c>
      <c r="G242" s="8" t="s">
        <v>907</v>
      </c>
      <c r="H242" s="8" t="s">
        <v>908</v>
      </c>
      <c r="I242" s="8" t="s">
        <v>909</v>
      </c>
      <c r="J242" s="8" t="s">
        <v>910</v>
      </c>
    </row>
    <row r="243">
      <c r="A243" s="3">
        <v>10242.0</v>
      </c>
      <c r="B243" s="8" t="s">
        <v>308</v>
      </c>
      <c r="C243" s="8" t="s">
        <v>309</v>
      </c>
      <c r="D243" s="26" t="s">
        <v>30</v>
      </c>
      <c r="E243" s="4" t="b">
        <f t="shared" si="1"/>
        <v>1</v>
      </c>
      <c r="F243" s="3">
        <f>IFERROR(__xludf.DUMMYFUNCTION("IF(COUNTIF($D$2:$D1000, D243)&gt;1, MATCH(D243, UNIQUE(FILTER($D$2:$D1000, COUNTIF($D$2:$D1000, $D$2:$D1000)&gt;1)), 0), """")"),5.0)</f>
        <v>5</v>
      </c>
      <c r="G243" s="8" t="s">
        <v>31</v>
      </c>
      <c r="H243" s="8" t="s">
        <v>32</v>
      </c>
      <c r="I243" s="8" t="s">
        <v>911</v>
      </c>
      <c r="J243" s="8" t="s">
        <v>912</v>
      </c>
    </row>
    <row r="244">
      <c r="A244" s="3">
        <v>10243.0</v>
      </c>
      <c r="B244" s="8" t="s">
        <v>50</v>
      </c>
      <c r="C244" s="8" t="s">
        <v>51</v>
      </c>
      <c r="D244" s="26" t="s">
        <v>913</v>
      </c>
      <c r="E244" s="4" t="b">
        <f t="shared" si="1"/>
        <v>1</v>
      </c>
      <c r="F244" s="3">
        <f>IFERROR(__xludf.DUMMYFUNCTION("IF(COUNTIF($D$2:$D1000, D244)&gt;1, MATCH(D244, UNIQUE(FILTER($D$2:$D1000, COUNTIF($D$2:$D1000, $D$2:$D1000)&gt;1)), 0), """")"),85.0)</f>
        <v>85</v>
      </c>
      <c r="G244" s="8" t="s">
        <v>914</v>
      </c>
      <c r="H244" s="8" t="s">
        <v>913</v>
      </c>
      <c r="I244" s="8" t="s">
        <v>915</v>
      </c>
      <c r="J244" s="8" t="s">
        <v>916</v>
      </c>
    </row>
    <row r="245">
      <c r="A245" s="3">
        <v>10244.0</v>
      </c>
      <c r="B245" s="8" t="s">
        <v>50</v>
      </c>
      <c r="C245" s="8" t="s">
        <v>51</v>
      </c>
      <c r="D245" s="26" t="s">
        <v>395</v>
      </c>
      <c r="E245" s="4" t="b">
        <f t="shared" si="1"/>
        <v>1</v>
      </c>
      <c r="F245" s="3">
        <f>IFERROR(__xludf.DUMMYFUNCTION("IF(COUNTIF($D$2:$D1000, D245)&gt;1, MATCH(D245, UNIQUE(FILTER($D$2:$D1000, COUNTIF($D$2:$D1000, $D$2:$D1000)&gt;1)), 0), """")"),40.0)</f>
        <v>40</v>
      </c>
      <c r="G245" s="8" t="s">
        <v>396</v>
      </c>
      <c r="H245" s="8" t="s">
        <v>395</v>
      </c>
      <c r="I245" s="8" t="s">
        <v>917</v>
      </c>
      <c r="J245" s="8" t="s">
        <v>918</v>
      </c>
    </row>
    <row r="246">
      <c r="A246" s="3">
        <v>10245.0</v>
      </c>
      <c r="B246" s="8" t="s">
        <v>50</v>
      </c>
      <c r="C246" s="8" t="s">
        <v>51</v>
      </c>
      <c r="D246" s="26" t="s">
        <v>919</v>
      </c>
      <c r="E246" s="4" t="b">
        <f t="shared" si="1"/>
        <v>0</v>
      </c>
      <c r="F246" s="3" t="str">
        <f>IFERROR(__xludf.DUMMYFUNCTION("IF(COUNTIF($D$2:$D1000, D246)&gt;1, MATCH(D246, UNIQUE(FILTER($D$2:$D1000, COUNTIF($D$2:$D1000, $D$2:$D1000)&gt;1)), 0), """")"),"")</f>
        <v/>
      </c>
      <c r="G246" s="8" t="s">
        <v>920</v>
      </c>
      <c r="H246" s="8" t="s">
        <v>921</v>
      </c>
      <c r="I246" s="8" t="s">
        <v>922</v>
      </c>
      <c r="J246" s="8" t="s">
        <v>923</v>
      </c>
    </row>
    <row r="247">
      <c r="A247" s="3">
        <v>10246.0</v>
      </c>
      <c r="B247" s="8" t="s">
        <v>50</v>
      </c>
      <c r="C247" s="8" t="s">
        <v>51</v>
      </c>
      <c r="D247" s="26" t="s">
        <v>924</v>
      </c>
      <c r="E247" s="4" t="b">
        <f t="shared" si="1"/>
        <v>0</v>
      </c>
      <c r="F247" s="3" t="str">
        <f>IFERROR(__xludf.DUMMYFUNCTION("IF(COUNTIF($D$2:$D1000, D247)&gt;1, MATCH(D247, UNIQUE(FILTER($D$2:$D1000, COUNTIF($D$2:$D1000, $D$2:$D1000)&gt;1)), 0), """")"),"")</f>
        <v/>
      </c>
      <c r="G247" s="8" t="s">
        <v>925</v>
      </c>
      <c r="H247" s="8" t="s">
        <v>926</v>
      </c>
      <c r="I247" s="8" t="s">
        <v>927</v>
      </c>
      <c r="J247" s="8" t="s">
        <v>928</v>
      </c>
    </row>
    <row r="248">
      <c r="A248" s="3">
        <v>10247.0</v>
      </c>
      <c r="B248" s="8" t="s">
        <v>50</v>
      </c>
      <c r="C248" s="8" t="s">
        <v>51</v>
      </c>
      <c r="D248" s="26" t="s">
        <v>864</v>
      </c>
      <c r="E248" s="4" t="b">
        <f t="shared" si="1"/>
        <v>1</v>
      </c>
      <c r="F248" s="3">
        <f>IFERROR(__xludf.DUMMYFUNCTION("IF(COUNTIF($D$2:$D1000, D248)&gt;1, MATCH(D248, UNIQUE(FILTER($D$2:$D1000, COUNTIF($D$2:$D1000, $D$2:$D1000)&gt;1)), 0), """")"),82.0)</f>
        <v>82</v>
      </c>
      <c r="G248" s="8" t="s">
        <v>382</v>
      </c>
      <c r="H248" s="8" t="s">
        <v>383</v>
      </c>
      <c r="I248" s="8" t="s">
        <v>929</v>
      </c>
      <c r="J248" s="8" t="s">
        <v>930</v>
      </c>
    </row>
    <row r="249">
      <c r="A249" s="3">
        <v>10248.0</v>
      </c>
      <c r="B249" s="8" t="s">
        <v>50</v>
      </c>
      <c r="C249" s="8" t="s">
        <v>51</v>
      </c>
      <c r="D249" s="11" t="s">
        <v>40</v>
      </c>
      <c r="E249" s="4" t="b">
        <f t="shared" si="1"/>
        <v>1</v>
      </c>
      <c r="F249" s="3">
        <f>IFERROR(__xludf.DUMMYFUNCTION("IF(COUNTIF($D$2:$D1000, D249)&gt;1, MATCH(D249, UNIQUE(FILTER($D$2:$D1000, COUNTIF($D$2:$D1000, $D$2:$D1000)&gt;1)), 0), """")"),7.0)</f>
        <v>7</v>
      </c>
      <c r="G249" s="8" t="s">
        <v>931</v>
      </c>
      <c r="H249" s="8" t="s">
        <v>932</v>
      </c>
      <c r="I249" s="8" t="s">
        <v>933</v>
      </c>
      <c r="J249" s="8" t="s">
        <v>934</v>
      </c>
    </row>
    <row r="250">
      <c r="A250" s="3">
        <v>10249.0</v>
      </c>
      <c r="B250" s="8" t="s">
        <v>50</v>
      </c>
      <c r="C250" s="8" t="s">
        <v>51</v>
      </c>
      <c r="D250" s="26" t="s">
        <v>331</v>
      </c>
      <c r="E250" s="4" t="b">
        <f t="shared" si="1"/>
        <v>1</v>
      </c>
      <c r="F250" s="3">
        <f>IFERROR(__xludf.DUMMYFUNCTION("IF(COUNTIF($D$2:$D1000, D250)&gt;1, MATCH(D250, UNIQUE(FILTER($D$2:$D1000, COUNTIF($D$2:$D1000, $D$2:$D1000)&gt;1)), 0), """")"),31.0)</f>
        <v>31</v>
      </c>
      <c r="G250" s="8" t="s">
        <v>332</v>
      </c>
      <c r="H250" s="8" t="s">
        <v>331</v>
      </c>
      <c r="I250" s="8" t="s">
        <v>935</v>
      </c>
      <c r="J250" s="8" t="s">
        <v>936</v>
      </c>
    </row>
    <row r="251">
      <c r="A251" s="3">
        <v>10250.0</v>
      </c>
      <c r="B251" s="8" t="s">
        <v>50</v>
      </c>
      <c r="C251" s="8" t="s">
        <v>51</v>
      </c>
      <c r="D251" s="26" t="s">
        <v>574</v>
      </c>
      <c r="E251" s="4" t="b">
        <f t="shared" si="1"/>
        <v>1</v>
      </c>
      <c r="F251" s="3">
        <f>IFERROR(__xludf.DUMMYFUNCTION("IF(COUNTIF($D$2:$D1000, D251)&gt;1, MATCH(D251, UNIQUE(FILTER($D$2:$D1000, COUNTIF($D$2:$D1000, $D$2:$D1000)&gt;1)), 0), """")"),61.0)</f>
        <v>61</v>
      </c>
      <c r="G251" s="8" t="s">
        <v>575</v>
      </c>
      <c r="H251" s="8" t="s">
        <v>576</v>
      </c>
      <c r="I251" s="8" t="s">
        <v>937</v>
      </c>
      <c r="J251" s="8" t="s">
        <v>938</v>
      </c>
    </row>
    <row r="252">
      <c r="A252" s="3">
        <v>10251.0</v>
      </c>
      <c r="B252" s="8" t="s">
        <v>50</v>
      </c>
      <c r="C252" s="8" t="s">
        <v>51</v>
      </c>
      <c r="D252" s="26" t="s">
        <v>939</v>
      </c>
      <c r="E252" s="4" t="b">
        <f t="shared" si="1"/>
        <v>0</v>
      </c>
      <c r="F252" s="3" t="str">
        <f>IFERROR(__xludf.DUMMYFUNCTION("IF(COUNTIF($D$2:$D1000, D252)&gt;1, MATCH(D252, UNIQUE(FILTER($D$2:$D1000, COUNTIF($D$2:$D1000, $D$2:$D1000)&gt;1)), 0), """")"),"")</f>
        <v/>
      </c>
      <c r="G252" s="8" t="s">
        <v>940</v>
      </c>
      <c r="H252" s="8" t="s">
        <v>941</v>
      </c>
      <c r="I252" s="8" t="s">
        <v>942</v>
      </c>
      <c r="J252" s="8" t="s">
        <v>943</v>
      </c>
    </row>
    <row r="253">
      <c r="A253" s="3">
        <v>10252.0</v>
      </c>
      <c r="B253" s="8" t="s">
        <v>50</v>
      </c>
      <c r="C253" s="8" t="s">
        <v>51</v>
      </c>
      <c r="D253" s="26" t="s">
        <v>944</v>
      </c>
      <c r="E253" s="4" t="b">
        <f t="shared" si="1"/>
        <v>0</v>
      </c>
      <c r="F253" s="3" t="str">
        <f>IFERROR(__xludf.DUMMYFUNCTION("IF(COUNTIF($D$2:$D1000, D253)&gt;1, MATCH(D253, UNIQUE(FILTER($D$2:$D1000, COUNTIF($D$2:$D1000, $D$2:$D1000)&gt;1)), 0), """")"),"")</f>
        <v/>
      </c>
      <c r="G253" s="8" t="s">
        <v>945</v>
      </c>
      <c r="H253" s="8" t="s">
        <v>946</v>
      </c>
      <c r="I253" s="8" t="s">
        <v>947</v>
      </c>
      <c r="J253" s="8" t="s">
        <v>948</v>
      </c>
    </row>
    <row r="254">
      <c r="A254" s="3">
        <v>10253.0</v>
      </c>
      <c r="B254" s="8" t="s">
        <v>50</v>
      </c>
      <c r="C254" s="8" t="s">
        <v>51</v>
      </c>
      <c r="D254" s="26" t="s">
        <v>542</v>
      </c>
      <c r="E254" s="4" t="b">
        <f t="shared" si="1"/>
        <v>1</v>
      </c>
      <c r="F254" s="3">
        <f>IFERROR(__xludf.DUMMYFUNCTION("IF(COUNTIF($D$2:$D1000, D254)&gt;1, MATCH(D254, UNIQUE(FILTER($D$2:$D1000, COUNTIF($D$2:$D1000, $D$2:$D1000)&gt;1)), 0), """")"),55.0)</f>
        <v>55</v>
      </c>
      <c r="G254" s="8" t="s">
        <v>543</v>
      </c>
      <c r="H254" s="8" t="s">
        <v>544</v>
      </c>
      <c r="I254" s="8" t="s">
        <v>949</v>
      </c>
      <c r="J254" s="8" t="s">
        <v>950</v>
      </c>
    </row>
    <row r="255">
      <c r="A255" s="3">
        <v>10254.0</v>
      </c>
      <c r="B255" s="8" t="s">
        <v>50</v>
      </c>
      <c r="C255" s="8" t="s">
        <v>51</v>
      </c>
      <c r="D255" s="26" t="s">
        <v>951</v>
      </c>
      <c r="E255" s="4" t="b">
        <f t="shared" si="1"/>
        <v>0</v>
      </c>
      <c r="F255" s="3" t="str">
        <f>IFERROR(__xludf.DUMMYFUNCTION("IF(COUNTIF($D$2:$D1000, D255)&gt;1, MATCH(D255, UNIQUE(FILTER($D$2:$D1000, COUNTIF($D$2:$D1000, $D$2:$D1000)&gt;1)), 0), """")"),"")</f>
        <v/>
      </c>
      <c r="G255" s="8" t="s">
        <v>952</v>
      </c>
      <c r="H255" s="8" t="s">
        <v>953</v>
      </c>
      <c r="I255" s="8" t="s">
        <v>954</v>
      </c>
      <c r="J255" s="8" t="s">
        <v>955</v>
      </c>
    </row>
    <row r="256">
      <c r="A256" s="3">
        <v>10255.0</v>
      </c>
      <c r="B256" s="8" t="s">
        <v>50</v>
      </c>
      <c r="C256" s="8" t="s">
        <v>51</v>
      </c>
      <c r="D256" s="26" t="s">
        <v>108</v>
      </c>
      <c r="E256" s="4" t="b">
        <f t="shared" si="1"/>
        <v>1</v>
      </c>
      <c r="F256" s="3">
        <f>IFERROR(__xludf.DUMMYFUNCTION("IF(COUNTIF($D$2:$D1000, D256)&gt;1, MATCH(D256, UNIQUE(FILTER($D$2:$D1000, COUNTIF($D$2:$D1000, $D$2:$D1000)&gt;1)), 0), """")"),16.0)</f>
        <v>16</v>
      </c>
      <c r="G256" s="8" t="s">
        <v>109</v>
      </c>
      <c r="H256" s="8" t="s">
        <v>110</v>
      </c>
      <c r="I256" s="8" t="s">
        <v>956</v>
      </c>
      <c r="J256" s="8" t="s">
        <v>957</v>
      </c>
    </row>
    <row r="257">
      <c r="A257" s="3">
        <v>10256.0</v>
      </c>
      <c r="B257" s="8" t="s">
        <v>50</v>
      </c>
      <c r="C257" s="8" t="s">
        <v>51</v>
      </c>
      <c r="D257" s="26" t="s">
        <v>616</v>
      </c>
      <c r="E257" s="4" t="b">
        <f t="shared" si="1"/>
        <v>1</v>
      </c>
      <c r="F257" s="3">
        <f>IFERROR(__xludf.DUMMYFUNCTION("IF(COUNTIF($D$2:$D1000, D257)&gt;1, MATCH(D257, UNIQUE(FILTER($D$2:$D1000, COUNTIF($D$2:$D1000, $D$2:$D1000)&gt;1)), 0), """")"),64.0)</f>
        <v>64</v>
      </c>
      <c r="G257" s="8" t="s">
        <v>617</v>
      </c>
      <c r="H257" s="8" t="s">
        <v>618</v>
      </c>
      <c r="I257" s="8" t="s">
        <v>958</v>
      </c>
      <c r="J257" s="8" t="s">
        <v>959</v>
      </c>
    </row>
    <row r="258">
      <c r="A258" s="3">
        <v>10257.0</v>
      </c>
      <c r="B258" s="8" t="s">
        <v>50</v>
      </c>
      <c r="C258" s="8" t="s">
        <v>51</v>
      </c>
      <c r="D258" s="26" t="s">
        <v>25</v>
      </c>
      <c r="E258" s="4" t="b">
        <f t="shared" si="1"/>
        <v>1</v>
      </c>
      <c r="F258" s="3">
        <f>IFERROR(__xludf.DUMMYFUNCTION("IF(COUNTIF($D$2:$D1000, D258)&gt;1, MATCH(D258, UNIQUE(FILTER($D$2:$D1000, COUNTIF($D$2:$D1000, $D$2:$D1000)&gt;1)), 0), """")"),4.0)</f>
        <v>4</v>
      </c>
      <c r="G258" s="8" t="s">
        <v>26</v>
      </c>
      <c r="H258" s="8" t="s">
        <v>27</v>
      </c>
      <c r="I258" s="8" t="s">
        <v>960</v>
      </c>
      <c r="J258" s="8" t="s">
        <v>961</v>
      </c>
    </row>
    <row r="259">
      <c r="A259" s="3">
        <v>10258.0</v>
      </c>
      <c r="B259" s="8" t="s">
        <v>50</v>
      </c>
      <c r="C259" s="8" t="s">
        <v>51</v>
      </c>
      <c r="D259" s="26" t="s">
        <v>962</v>
      </c>
      <c r="E259" s="4" t="b">
        <f t="shared" si="1"/>
        <v>0</v>
      </c>
      <c r="F259" s="3" t="str">
        <f>IFERROR(__xludf.DUMMYFUNCTION("IF(COUNTIF($D$2:$D1000, D259)&gt;1, MATCH(D259, UNIQUE(FILTER($D$2:$D1000, COUNTIF($D$2:$D1000, $D$2:$D1000)&gt;1)), 0), """")"),"")</f>
        <v/>
      </c>
      <c r="G259" s="8" t="s">
        <v>963</v>
      </c>
      <c r="H259" s="8" t="s">
        <v>964</v>
      </c>
      <c r="I259" s="8" t="s">
        <v>965</v>
      </c>
      <c r="J259" s="8" t="s">
        <v>966</v>
      </c>
    </row>
    <row r="260">
      <c r="A260" s="3">
        <v>10259.0</v>
      </c>
      <c r="B260" s="8" t="s">
        <v>50</v>
      </c>
      <c r="C260" s="8" t="s">
        <v>51</v>
      </c>
      <c r="D260" s="26" t="s">
        <v>967</v>
      </c>
      <c r="E260" s="4" t="b">
        <f t="shared" si="1"/>
        <v>0</v>
      </c>
      <c r="F260" s="3" t="str">
        <f>IFERROR(__xludf.DUMMYFUNCTION("IF(COUNTIF($D$2:$D1000, D260)&gt;1, MATCH(D260, UNIQUE(FILTER($D$2:$D1000, COUNTIF($D$2:$D1000, $D$2:$D1000)&gt;1)), 0), """")"),"")</f>
        <v/>
      </c>
      <c r="G260" s="8" t="s">
        <v>968</v>
      </c>
      <c r="H260" s="8" t="s">
        <v>969</v>
      </c>
      <c r="I260" s="8" t="s">
        <v>970</v>
      </c>
      <c r="J260" s="8" t="s">
        <v>971</v>
      </c>
    </row>
    <row r="261">
      <c r="A261" s="3">
        <v>10260.0</v>
      </c>
      <c r="B261" s="8" t="s">
        <v>50</v>
      </c>
      <c r="C261" s="8" t="s">
        <v>51</v>
      </c>
      <c r="D261" s="26" t="s">
        <v>579</v>
      </c>
      <c r="E261" s="4" t="b">
        <f t="shared" si="1"/>
        <v>1</v>
      </c>
      <c r="F261" s="3">
        <f>IFERROR(__xludf.DUMMYFUNCTION("IF(COUNTIF($D$2:$D1000, D261)&gt;1, MATCH(D261, UNIQUE(FILTER($D$2:$D1000, COUNTIF($D$2:$D1000, $D$2:$D1000)&gt;1)), 0), """")"),62.0)</f>
        <v>62</v>
      </c>
      <c r="G261" s="8" t="s">
        <v>580</v>
      </c>
      <c r="H261" s="8" t="s">
        <v>581</v>
      </c>
      <c r="I261" s="8" t="s">
        <v>972</v>
      </c>
      <c r="J261" s="8" t="s">
        <v>973</v>
      </c>
    </row>
    <row r="262">
      <c r="A262" s="3">
        <v>10261.0</v>
      </c>
      <c r="B262" s="8" t="s">
        <v>302</v>
      </c>
      <c r="C262" s="8" t="s">
        <v>303</v>
      </c>
      <c r="D262" s="26" t="s">
        <v>62</v>
      </c>
      <c r="E262" s="4" t="b">
        <f t="shared" si="1"/>
        <v>1</v>
      </c>
      <c r="F262" s="3">
        <f>IFERROR(__xludf.DUMMYFUNCTION("IF(COUNTIF($D$2:$D1000, D262)&gt;1, MATCH(D262, UNIQUE(FILTER($D$2:$D1000, COUNTIF($D$2:$D1000, $D$2:$D1000)&gt;1)), 0), """")"),10.0)</f>
        <v>10</v>
      </c>
      <c r="G262" s="8" t="s">
        <v>63</v>
      </c>
      <c r="H262" s="8" t="s">
        <v>64</v>
      </c>
      <c r="I262" s="8" t="s">
        <v>974</v>
      </c>
      <c r="J262" s="8" t="s">
        <v>975</v>
      </c>
    </row>
    <row r="263">
      <c r="A263" s="3">
        <v>10262.0</v>
      </c>
      <c r="B263" s="8" t="s">
        <v>302</v>
      </c>
      <c r="C263" s="8" t="s">
        <v>303</v>
      </c>
      <c r="D263" s="26" t="s">
        <v>371</v>
      </c>
      <c r="E263" s="4" t="b">
        <f t="shared" si="1"/>
        <v>1</v>
      </c>
      <c r="F263" s="3">
        <f>IFERROR(__xludf.DUMMYFUNCTION("IF(COUNTIF($D$2:$D1000, D263)&gt;1, MATCH(D263, UNIQUE(FILTER($D$2:$D1000, COUNTIF($D$2:$D1000, $D$2:$D1000)&gt;1)), 0), """")"),37.0)</f>
        <v>37</v>
      </c>
      <c r="G263" s="8" t="s">
        <v>372</v>
      </c>
      <c r="H263" s="8" t="s">
        <v>373</v>
      </c>
      <c r="I263" s="8" t="s">
        <v>976</v>
      </c>
      <c r="J263" s="8" t="s">
        <v>977</v>
      </c>
    </row>
    <row r="264">
      <c r="A264" s="3">
        <v>10263.0</v>
      </c>
      <c r="B264" s="8" t="s">
        <v>302</v>
      </c>
      <c r="C264" s="8" t="s">
        <v>303</v>
      </c>
      <c r="D264" s="26" t="s">
        <v>513</v>
      </c>
      <c r="E264" s="4" t="b">
        <f t="shared" si="1"/>
        <v>1</v>
      </c>
      <c r="F264" s="3">
        <f>IFERROR(__xludf.DUMMYFUNCTION("IF(COUNTIF($D$2:$D1000, D264)&gt;1, MATCH(D264, UNIQUE(FILTER($D$2:$D1000, COUNTIF($D$2:$D1000, $D$2:$D1000)&gt;1)), 0), """")"),51.0)</f>
        <v>51</v>
      </c>
      <c r="G264" s="8" t="s">
        <v>514</v>
      </c>
      <c r="H264" s="8" t="s">
        <v>515</v>
      </c>
      <c r="I264" s="8" t="s">
        <v>978</v>
      </c>
      <c r="J264" s="8" t="s">
        <v>979</v>
      </c>
    </row>
    <row r="265">
      <c r="A265" s="3">
        <v>10264.0</v>
      </c>
      <c r="B265" s="8" t="s">
        <v>302</v>
      </c>
      <c r="C265" s="8" t="s">
        <v>303</v>
      </c>
      <c r="D265" s="26" t="s">
        <v>290</v>
      </c>
      <c r="E265" s="4" t="b">
        <f t="shared" si="1"/>
        <v>1</v>
      </c>
      <c r="F265" s="3">
        <f>IFERROR(__xludf.DUMMYFUNCTION("IF(COUNTIF($D$2:$D1000, D265)&gt;1, MATCH(D265, UNIQUE(FILTER($D$2:$D1000, COUNTIF($D$2:$D1000, $D$2:$D1000)&gt;1)), 0), """")"),26.0)</f>
        <v>26</v>
      </c>
      <c r="G265" s="8" t="s">
        <v>291</v>
      </c>
      <c r="H265" s="8" t="s">
        <v>292</v>
      </c>
      <c r="I265" s="8" t="s">
        <v>980</v>
      </c>
      <c r="J265" s="8" t="s">
        <v>981</v>
      </c>
    </row>
    <row r="266">
      <c r="A266" s="3">
        <v>10265.0</v>
      </c>
      <c r="B266" s="8" t="s">
        <v>302</v>
      </c>
      <c r="C266" s="8" t="s">
        <v>303</v>
      </c>
      <c r="D266" s="26" t="s">
        <v>648</v>
      </c>
      <c r="E266" s="4" t="b">
        <f t="shared" si="1"/>
        <v>1</v>
      </c>
      <c r="F266" s="3">
        <f>IFERROR(__xludf.DUMMYFUNCTION("IF(COUNTIF($D$2:$D1000, D266)&gt;1, MATCH(D266, UNIQUE(FILTER($D$2:$D1000, COUNTIF($D$2:$D1000, $D$2:$D1000)&gt;1)), 0), """")"),67.0)</f>
        <v>67</v>
      </c>
      <c r="G266" s="8" t="s">
        <v>649</v>
      </c>
      <c r="H266" s="8" t="s">
        <v>648</v>
      </c>
      <c r="I266" s="8" t="s">
        <v>982</v>
      </c>
      <c r="J266" s="8" t="s">
        <v>983</v>
      </c>
    </row>
    <row r="267">
      <c r="A267" s="3">
        <v>10266.0</v>
      </c>
      <c r="B267" s="8" t="s">
        <v>302</v>
      </c>
      <c r="C267" s="8" t="s">
        <v>303</v>
      </c>
      <c r="D267" s="26" t="s">
        <v>984</v>
      </c>
      <c r="E267" s="4" t="b">
        <f t="shared" si="1"/>
        <v>1</v>
      </c>
      <c r="F267" s="3">
        <f>IFERROR(__xludf.DUMMYFUNCTION("IF(COUNTIF($D$2:$D1000, D267)&gt;1, MATCH(D267, UNIQUE(FILTER($D$2:$D1000, COUNTIF($D$2:$D1000, $D$2:$D1000)&gt;1)), 0), """")"),86.0)</f>
        <v>86</v>
      </c>
      <c r="G267" s="8" t="s">
        <v>985</v>
      </c>
      <c r="H267" s="8" t="s">
        <v>986</v>
      </c>
      <c r="I267" s="8" t="s">
        <v>987</v>
      </c>
      <c r="J267" s="8" t="s">
        <v>988</v>
      </c>
    </row>
    <row r="268">
      <c r="A268" s="3">
        <v>10267.0</v>
      </c>
      <c r="B268" s="8" t="s">
        <v>302</v>
      </c>
      <c r="C268" s="8" t="s">
        <v>303</v>
      </c>
      <c r="D268" s="26" t="s">
        <v>101</v>
      </c>
      <c r="E268" s="4" t="b">
        <f t="shared" si="1"/>
        <v>1</v>
      </c>
      <c r="F268" s="3">
        <f>IFERROR(__xludf.DUMMYFUNCTION("IF(COUNTIF($D$2:$D1000, D268)&gt;1, MATCH(D268, UNIQUE(FILTER($D$2:$D1000, COUNTIF($D$2:$D1000, $D$2:$D1000)&gt;1)), 0), """")"),15.0)</f>
        <v>15</v>
      </c>
      <c r="G268" s="8" t="s">
        <v>989</v>
      </c>
      <c r="H268" s="8" t="s">
        <v>990</v>
      </c>
      <c r="I268" s="8" t="s">
        <v>991</v>
      </c>
      <c r="J268" s="8" t="s">
        <v>992</v>
      </c>
    </row>
    <row r="269">
      <c r="A269" s="3">
        <v>10268.0</v>
      </c>
      <c r="B269" s="8" t="s">
        <v>302</v>
      </c>
      <c r="C269" s="8" t="s">
        <v>303</v>
      </c>
      <c r="D269" s="26" t="s">
        <v>993</v>
      </c>
      <c r="E269" s="4" t="b">
        <f t="shared" si="1"/>
        <v>0</v>
      </c>
      <c r="F269" s="3" t="str">
        <f>IFERROR(__xludf.DUMMYFUNCTION("IF(COUNTIF($D$2:$D1000, D269)&gt;1, MATCH(D269, UNIQUE(FILTER($D$2:$D1000, COUNTIF($D$2:$D1000, $D$2:$D1000)&gt;1)), 0), """")"),"")</f>
        <v/>
      </c>
      <c r="G269" s="8" t="s">
        <v>994</v>
      </c>
      <c r="H269" s="8" t="s">
        <v>995</v>
      </c>
      <c r="I269" s="8" t="s">
        <v>996</v>
      </c>
      <c r="J269" s="8" t="s">
        <v>997</v>
      </c>
    </row>
    <row r="270">
      <c r="A270" s="3">
        <v>10269.0</v>
      </c>
      <c r="B270" s="8" t="s">
        <v>302</v>
      </c>
      <c r="C270" s="8" t="s">
        <v>303</v>
      </c>
      <c r="D270" s="26" t="s">
        <v>331</v>
      </c>
      <c r="E270" s="4" t="b">
        <f t="shared" si="1"/>
        <v>1</v>
      </c>
      <c r="F270" s="3">
        <f>IFERROR(__xludf.DUMMYFUNCTION("IF(COUNTIF($D$2:$D1000, D270)&gt;1, MATCH(D270, UNIQUE(FILTER($D$2:$D1000, COUNTIF($D$2:$D1000, $D$2:$D1000)&gt;1)), 0), """")"),31.0)</f>
        <v>31</v>
      </c>
      <c r="G270" s="8" t="s">
        <v>332</v>
      </c>
      <c r="H270" s="8" t="s">
        <v>331</v>
      </c>
      <c r="I270" s="8" t="s">
        <v>998</v>
      </c>
      <c r="J270" s="8" t="s">
        <v>999</v>
      </c>
    </row>
    <row r="271">
      <c r="A271" s="3">
        <v>10270.0</v>
      </c>
      <c r="B271" s="8" t="s">
        <v>302</v>
      </c>
      <c r="C271" s="8" t="s">
        <v>303</v>
      </c>
      <c r="D271" s="26" t="s">
        <v>366</v>
      </c>
      <c r="E271" s="4" t="b">
        <f t="shared" si="1"/>
        <v>1</v>
      </c>
      <c r="F271" s="3">
        <f>IFERROR(__xludf.DUMMYFUNCTION("IF(COUNTIF($D$2:$D1000, D271)&gt;1, MATCH(D271, UNIQUE(FILTER($D$2:$D1000, COUNTIF($D$2:$D1000, $D$2:$D1000)&gt;1)), 0), """")"),36.0)</f>
        <v>36</v>
      </c>
      <c r="G271" s="8" t="s">
        <v>367</v>
      </c>
      <c r="H271" s="8" t="s">
        <v>368</v>
      </c>
      <c r="I271" s="8" t="s">
        <v>1000</v>
      </c>
      <c r="J271" s="8" t="s">
        <v>1001</v>
      </c>
    </row>
    <row r="272">
      <c r="A272" s="3">
        <v>10271.0</v>
      </c>
      <c r="B272" s="8" t="s">
        <v>302</v>
      </c>
      <c r="C272" s="8" t="s">
        <v>303</v>
      </c>
      <c r="D272" s="26" t="s">
        <v>399</v>
      </c>
      <c r="E272" s="4" t="b">
        <f t="shared" si="1"/>
        <v>1</v>
      </c>
      <c r="F272" s="3">
        <f>IFERROR(__xludf.DUMMYFUNCTION("IF(COUNTIF($D$2:$D1000, D272)&gt;1, MATCH(D272, UNIQUE(FILTER($D$2:$D1000, COUNTIF($D$2:$D1000, $D$2:$D1000)&gt;1)), 0), """")"),41.0)</f>
        <v>41</v>
      </c>
      <c r="G272" s="8" t="s">
        <v>400</v>
      </c>
      <c r="H272" s="8" t="s">
        <v>399</v>
      </c>
      <c r="I272" s="8" t="s">
        <v>1002</v>
      </c>
      <c r="J272" s="8" t="s">
        <v>1003</v>
      </c>
    </row>
    <row r="273">
      <c r="A273" s="3">
        <v>10272.0</v>
      </c>
      <c r="B273" s="8" t="s">
        <v>302</v>
      </c>
      <c r="C273" s="8" t="s">
        <v>303</v>
      </c>
      <c r="D273" s="26" t="s">
        <v>72</v>
      </c>
      <c r="E273" s="4" t="b">
        <f t="shared" si="1"/>
        <v>1</v>
      </c>
      <c r="F273" s="3">
        <f>IFERROR(__xludf.DUMMYFUNCTION("IF(COUNTIF($D$2:$D1000, D273)&gt;1, MATCH(D273, UNIQUE(FILTER($D$2:$D1000, COUNTIF($D$2:$D1000, $D$2:$D1000)&gt;1)), 0), """")"),11.0)</f>
        <v>11</v>
      </c>
      <c r="G273" s="8" t="s">
        <v>73</v>
      </c>
      <c r="H273" s="8" t="s">
        <v>74</v>
      </c>
      <c r="I273" s="8" t="s">
        <v>1004</v>
      </c>
      <c r="J273" s="8" t="s">
        <v>1005</v>
      </c>
    </row>
    <row r="274">
      <c r="A274" s="3">
        <v>10273.0</v>
      </c>
      <c r="B274" s="8" t="s">
        <v>302</v>
      </c>
      <c r="C274" s="8" t="s">
        <v>303</v>
      </c>
      <c r="D274" s="26" t="s">
        <v>376</v>
      </c>
      <c r="E274" s="4" t="b">
        <f t="shared" si="1"/>
        <v>1</v>
      </c>
      <c r="F274" s="3">
        <f>IFERROR(__xludf.DUMMYFUNCTION("IF(COUNTIF($D$2:$D1000, D274)&gt;1, MATCH(D274, UNIQUE(FILTER($D$2:$D1000, COUNTIF($D$2:$D1000, $D$2:$D1000)&gt;1)), 0), """")"),38.0)</f>
        <v>38</v>
      </c>
      <c r="G274" s="8" t="s">
        <v>377</v>
      </c>
      <c r="H274" s="8" t="s">
        <v>378</v>
      </c>
      <c r="I274" s="8" t="s">
        <v>1006</v>
      </c>
      <c r="J274" s="8" t="s">
        <v>1007</v>
      </c>
    </row>
    <row r="275">
      <c r="A275" s="3">
        <v>10274.0</v>
      </c>
      <c r="B275" s="8" t="s">
        <v>302</v>
      </c>
      <c r="C275" s="8" t="s">
        <v>303</v>
      </c>
      <c r="D275" s="26" t="s">
        <v>484</v>
      </c>
      <c r="E275" s="4" t="b">
        <f t="shared" si="1"/>
        <v>1</v>
      </c>
      <c r="F275" s="3">
        <f>IFERROR(__xludf.DUMMYFUNCTION("IF(COUNTIF($D$2:$D1000, D275)&gt;1, MATCH(D275, UNIQUE(FILTER($D$2:$D1000, COUNTIF($D$2:$D1000, $D$2:$D1000)&gt;1)), 0), """")"),48.0)</f>
        <v>48</v>
      </c>
      <c r="G275" s="8" t="s">
        <v>485</v>
      </c>
      <c r="H275" s="8" t="s">
        <v>484</v>
      </c>
      <c r="I275" s="8" t="s">
        <v>1008</v>
      </c>
      <c r="J275" s="8" t="s">
        <v>1009</v>
      </c>
    </row>
    <row r="276">
      <c r="A276" s="3">
        <v>10275.0</v>
      </c>
      <c r="B276" s="8" t="s">
        <v>302</v>
      </c>
      <c r="C276" s="8" t="s">
        <v>303</v>
      </c>
      <c r="D276" s="26" t="s">
        <v>1010</v>
      </c>
      <c r="E276" s="4" t="b">
        <f t="shared" si="1"/>
        <v>0</v>
      </c>
      <c r="F276" s="3" t="str">
        <f>IFERROR(__xludf.DUMMYFUNCTION("IF(COUNTIF($D$2:$D1000, D276)&gt;1, MATCH(D276, UNIQUE(FILTER($D$2:$D1000, COUNTIF($D$2:$D1000, $D$2:$D1000)&gt;1)), 0), """")"),"")</f>
        <v/>
      </c>
      <c r="G276" s="8" t="s">
        <v>1011</v>
      </c>
      <c r="H276" s="8" t="s">
        <v>1012</v>
      </c>
      <c r="I276" s="8" t="s">
        <v>1013</v>
      </c>
      <c r="J276" s="8" t="s">
        <v>1014</v>
      </c>
    </row>
    <row r="277">
      <c r="A277" s="3">
        <v>10276.0</v>
      </c>
      <c r="B277" s="8" t="s">
        <v>308</v>
      </c>
      <c r="C277" s="8" t="s">
        <v>309</v>
      </c>
      <c r="D277" s="26" t="s">
        <v>423</v>
      </c>
      <c r="E277" s="4" t="b">
        <f t="shared" si="1"/>
        <v>1</v>
      </c>
      <c r="F277" s="3">
        <f>IFERROR(__xludf.DUMMYFUNCTION("IF(COUNTIF($D$2:$D1000, D277)&gt;1, MATCH(D277, UNIQUE(FILTER($D$2:$D1000, COUNTIF($D$2:$D1000, $D$2:$D1000)&gt;1)), 0), """")"),44.0)</f>
        <v>44</v>
      </c>
      <c r="G277" s="8" t="s">
        <v>424</v>
      </c>
      <c r="H277" s="8" t="s">
        <v>425</v>
      </c>
      <c r="I277" s="8" t="s">
        <v>1015</v>
      </c>
      <c r="J277" s="8" t="s">
        <v>1016</v>
      </c>
    </row>
    <row r="278">
      <c r="A278" s="3">
        <v>10277.0</v>
      </c>
      <c r="B278" s="8" t="s">
        <v>308</v>
      </c>
      <c r="C278" s="8" t="s">
        <v>309</v>
      </c>
      <c r="D278" s="26" t="s">
        <v>430</v>
      </c>
      <c r="E278" s="4" t="b">
        <f t="shared" si="1"/>
        <v>1</v>
      </c>
      <c r="F278" s="3">
        <f>IFERROR(__xludf.DUMMYFUNCTION("IF(COUNTIF($D$2:$D1000, D278)&gt;1, MATCH(D278, UNIQUE(FILTER($D$2:$D1000, COUNTIF($D$2:$D1000, $D$2:$D1000)&gt;1)), 0), """")"),45.0)</f>
        <v>45</v>
      </c>
      <c r="G278" s="8" t="s">
        <v>431</v>
      </c>
      <c r="H278" s="8" t="s">
        <v>432</v>
      </c>
      <c r="I278" s="8" t="s">
        <v>1017</v>
      </c>
      <c r="J278" s="8" t="s">
        <v>1018</v>
      </c>
    </row>
    <row r="279">
      <c r="A279" s="3">
        <v>10278.0</v>
      </c>
      <c r="B279" s="8" t="s">
        <v>308</v>
      </c>
      <c r="C279" s="8" t="s">
        <v>309</v>
      </c>
      <c r="D279" s="26" t="s">
        <v>403</v>
      </c>
      <c r="E279" s="4" t="b">
        <f t="shared" si="1"/>
        <v>1</v>
      </c>
      <c r="F279" s="3">
        <f>IFERROR(__xludf.DUMMYFUNCTION("IF(COUNTIF($D$2:$D1000, D279)&gt;1, MATCH(D279, UNIQUE(FILTER($D$2:$D1000, COUNTIF($D$2:$D1000, $D$2:$D1000)&gt;1)), 0), """")"),42.0)</f>
        <v>42</v>
      </c>
      <c r="G279" s="8" t="s">
        <v>404</v>
      </c>
      <c r="H279" s="8" t="s">
        <v>405</v>
      </c>
      <c r="I279" s="8" t="s">
        <v>1019</v>
      </c>
      <c r="J279" s="8" t="s">
        <v>1020</v>
      </c>
    </row>
    <row r="280">
      <c r="A280" s="3">
        <v>10279.0</v>
      </c>
      <c r="B280" s="8" t="s">
        <v>308</v>
      </c>
      <c r="C280" s="8" t="s">
        <v>309</v>
      </c>
      <c r="D280" s="26" t="s">
        <v>213</v>
      </c>
      <c r="E280" s="4" t="b">
        <f t="shared" si="1"/>
        <v>1</v>
      </c>
      <c r="F280" s="3">
        <f>IFERROR(__xludf.DUMMYFUNCTION("IF(COUNTIF($D$2:$D1000, D280)&gt;1, MATCH(D280, UNIQUE(FILTER($D$2:$D1000, COUNTIF($D$2:$D1000, $D$2:$D1000)&gt;1)), 0), """")"),21.0)</f>
        <v>21</v>
      </c>
      <c r="G280" s="8" t="s">
        <v>214</v>
      </c>
      <c r="H280" s="8" t="s">
        <v>215</v>
      </c>
      <c r="I280" s="8" t="s">
        <v>1021</v>
      </c>
      <c r="J280" s="8" t="s">
        <v>1022</v>
      </c>
    </row>
    <row r="281">
      <c r="A281" s="3">
        <v>10280.0</v>
      </c>
      <c r="B281" s="8" t="s">
        <v>308</v>
      </c>
      <c r="C281" s="8" t="s">
        <v>309</v>
      </c>
      <c r="D281" s="26" t="s">
        <v>1023</v>
      </c>
      <c r="E281" s="4" t="b">
        <f t="shared" si="1"/>
        <v>1</v>
      </c>
      <c r="F281" s="3">
        <f>IFERROR(__xludf.DUMMYFUNCTION("IF(COUNTIF($D$2:$D1000, D281)&gt;1, MATCH(D281, UNIQUE(FILTER($D$2:$D1000, COUNTIF($D$2:$D1000, $D$2:$D1000)&gt;1)), 0), """")"),87.0)</f>
        <v>87</v>
      </c>
      <c r="G281" s="8" t="s">
        <v>1024</v>
      </c>
      <c r="H281" s="8" t="s">
        <v>1025</v>
      </c>
      <c r="I281" s="8" t="s">
        <v>1026</v>
      </c>
      <c r="J281" s="8" t="s">
        <v>1027</v>
      </c>
    </row>
    <row r="282">
      <c r="A282" s="3">
        <v>10281.0</v>
      </c>
      <c r="B282" s="8" t="s">
        <v>308</v>
      </c>
      <c r="C282" s="8" t="s">
        <v>309</v>
      </c>
      <c r="D282" s="26" t="s">
        <v>1028</v>
      </c>
      <c r="E282" s="4" t="b">
        <f t="shared" si="1"/>
        <v>0</v>
      </c>
      <c r="F282" s="3" t="str">
        <f>IFERROR(__xludf.DUMMYFUNCTION("IF(COUNTIF($D$2:$D1000, D282)&gt;1, MATCH(D282, UNIQUE(FILTER($D$2:$D1000, COUNTIF($D$2:$D1000, $D$2:$D1000)&gt;1)), 0), """")"),"")</f>
        <v/>
      </c>
      <c r="G282" s="8" t="s">
        <v>1029</v>
      </c>
      <c r="H282" s="8" t="s">
        <v>1030</v>
      </c>
      <c r="I282" s="8" t="s">
        <v>1031</v>
      </c>
      <c r="J282" s="8" t="s">
        <v>1032</v>
      </c>
    </row>
    <row r="283">
      <c r="A283" s="3">
        <v>10282.0</v>
      </c>
      <c r="B283" s="8" t="s">
        <v>308</v>
      </c>
      <c r="C283" s="8" t="s">
        <v>309</v>
      </c>
      <c r="D283" s="26" t="s">
        <v>268</v>
      </c>
      <c r="E283" s="4" t="b">
        <f t="shared" si="1"/>
        <v>1</v>
      </c>
      <c r="F283" s="3">
        <f>IFERROR(__xludf.DUMMYFUNCTION("IF(COUNTIF($D$2:$D1000, D283)&gt;1, MATCH(D283, UNIQUE(FILTER($D$2:$D1000, COUNTIF($D$2:$D1000, $D$2:$D1000)&gt;1)), 0), """")"),24.0)</f>
        <v>24</v>
      </c>
      <c r="G283" s="8" t="s">
        <v>269</v>
      </c>
      <c r="H283" s="8" t="s">
        <v>270</v>
      </c>
      <c r="I283" s="8" t="s">
        <v>1033</v>
      </c>
      <c r="J283" s="8" t="s">
        <v>1034</v>
      </c>
    </row>
    <row r="284">
      <c r="A284" s="3">
        <v>10283.0</v>
      </c>
      <c r="B284" s="8" t="s">
        <v>308</v>
      </c>
      <c r="C284" s="8" t="s">
        <v>309</v>
      </c>
      <c r="D284" s="26" t="s">
        <v>388</v>
      </c>
      <c r="E284" s="4" t="b">
        <f t="shared" si="1"/>
        <v>1</v>
      </c>
      <c r="F284" s="3">
        <f>IFERROR(__xludf.DUMMYFUNCTION("IF(COUNTIF($D$2:$D1000, D284)&gt;1, MATCH(D284, UNIQUE(FILTER($D$2:$D1000, COUNTIF($D$2:$D1000, $D$2:$D1000)&gt;1)), 0), """")"),39.0)</f>
        <v>39</v>
      </c>
      <c r="G284" s="8" t="s">
        <v>389</v>
      </c>
      <c r="H284" s="8" t="s">
        <v>390</v>
      </c>
      <c r="I284" s="8" t="s">
        <v>1035</v>
      </c>
      <c r="J284" s="8" t="s">
        <v>1036</v>
      </c>
    </row>
    <row r="285">
      <c r="A285" s="3">
        <v>10284.0</v>
      </c>
      <c r="B285" s="8" t="s">
        <v>308</v>
      </c>
      <c r="C285" s="8" t="s">
        <v>309</v>
      </c>
      <c r="D285" s="26" t="s">
        <v>1037</v>
      </c>
      <c r="E285" s="4" t="b">
        <f t="shared" si="1"/>
        <v>0</v>
      </c>
      <c r="F285" s="3" t="str">
        <f>IFERROR(__xludf.DUMMYFUNCTION("IF(COUNTIF($D$2:$D1000, D285)&gt;1, MATCH(D285, UNIQUE(FILTER($D$2:$D1000, COUNTIF($D$2:$D1000, $D$2:$D1000)&gt;1)), 0), """")"),"")</f>
        <v/>
      </c>
      <c r="G285" s="8" t="s">
        <v>1038</v>
      </c>
      <c r="H285" s="8" t="s">
        <v>1039</v>
      </c>
      <c r="I285" s="8" t="s">
        <v>1040</v>
      </c>
      <c r="J285" s="8" t="s">
        <v>1041</v>
      </c>
    </row>
    <row r="286">
      <c r="A286" s="3">
        <v>10285.0</v>
      </c>
      <c r="B286" s="8" t="s">
        <v>308</v>
      </c>
      <c r="C286" s="8" t="s">
        <v>309</v>
      </c>
      <c r="D286" s="26" t="s">
        <v>1042</v>
      </c>
      <c r="E286" s="4" t="b">
        <f t="shared" si="1"/>
        <v>1</v>
      </c>
      <c r="F286" s="3">
        <f>IFERROR(__xludf.DUMMYFUNCTION("IF(COUNTIF($D$2:$D1000, D286)&gt;1, MATCH(D286, UNIQUE(FILTER($D$2:$D1000, COUNTIF($D$2:$D1000, $D$2:$D1000)&gt;1)), 0), """")"),88.0)</f>
        <v>88</v>
      </c>
      <c r="G286" s="8" t="s">
        <v>1043</v>
      </c>
      <c r="H286" s="8" t="s">
        <v>1044</v>
      </c>
      <c r="I286" s="8" t="s">
        <v>1045</v>
      </c>
      <c r="J286" s="8" t="s">
        <v>1046</v>
      </c>
    </row>
    <row r="287">
      <c r="A287" s="3">
        <v>10286.0</v>
      </c>
      <c r="B287" s="8" t="s">
        <v>308</v>
      </c>
      <c r="C287" s="8" t="s">
        <v>309</v>
      </c>
      <c r="D287" s="26" t="s">
        <v>128</v>
      </c>
      <c r="E287" s="4" t="b">
        <f t="shared" si="1"/>
        <v>1</v>
      </c>
      <c r="F287" s="3">
        <f>IFERROR(__xludf.DUMMYFUNCTION("IF(COUNTIF($D$2:$D1000, D287)&gt;1, MATCH(D287, UNIQUE(FILTER($D$2:$D1000, COUNTIF($D$2:$D1000, $D$2:$D1000)&gt;1)), 0), """")"),18.0)</f>
        <v>18</v>
      </c>
      <c r="G287" s="8" t="s">
        <v>129</v>
      </c>
      <c r="H287" s="8" t="s">
        <v>130</v>
      </c>
      <c r="I287" s="8" t="s">
        <v>1047</v>
      </c>
      <c r="J287" s="8" t="s">
        <v>1048</v>
      </c>
    </row>
    <row r="288">
      <c r="A288" s="3">
        <v>10287.0</v>
      </c>
      <c r="B288" s="8" t="s">
        <v>308</v>
      </c>
      <c r="C288" s="8" t="s">
        <v>309</v>
      </c>
      <c r="D288" s="26" t="s">
        <v>1049</v>
      </c>
      <c r="E288" s="4" t="b">
        <f t="shared" si="1"/>
        <v>0</v>
      </c>
      <c r="F288" s="3" t="str">
        <f>IFERROR(__xludf.DUMMYFUNCTION("IF(COUNTIF($D$2:$D1000, D288)&gt;1, MATCH(D288, UNIQUE(FILTER($D$2:$D1000, COUNTIF($D$2:$D1000, $D$2:$D1000)&gt;1)), 0), """")"),"")</f>
        <v/>
      </c>
      <c r="G288" s="8" t="s">
        <v>1050</v>
      </c>
      <c r="H288" s="8" t="s">
        <v>1051</v>
      </c>
      <c r="I288" s="8" t="s">
        <v>1052</v>
      </c>
      <c r="J288" s="8" t="s">
        <v>1053</v>
      </c>
    </row>
    <row r="289">
      <c r="A289" s="3">
        <v>10288.0</v>
      </c>
      <c r="B289" s="8" t="s">
        <v>308</v>
      </c>
      <c r="C289" s="8" t="s">
        <v>309</v>
      </c>
      <c r="D289" s="26" t="s">
        <v>1054</v>
      </c>
      <c r="E289" s="4" t="b">
        <f t="shared" si="1"/>
        <v>0</v>
      </c>
      <c r="F289" s="3" t="str">
        <f>IFERROR(__xludf.DUMMYFUNCTION("IF(COUNTIF($D$2:$D1000, D289)&gt;1, MATCH(D289, UNIQUE(FILTER($D$2:$D1000, COUNTIF($D$2:$D1000, $D$2:$D1000)&gt;1)), 0), """")"),"")</f>
        <v/>
      </c>
      <c r="G289" s="8" t="s">
        <v>1055</v>
      </c>
      <c r="H289" s="8" t="s">
        <v>1056</v>
      </c>
      <c r="I289" s="8" t="s">
        <v>1057</v>
      </c>
      <c r="J289" s="8" t="s">
        <v>1058</v>
      </c>
    </row>
    <row r="290">
      <c r="A290" s="3">
        <v>10289.0</v>
      </c>
      <c r="B290" s="8" t="s">
        <v>308</v>
      </c>
      <c r="C290" s="8" t="s">
        <v>309</v>
      </c>
      <c r="D290" s="26" t="s">
        <v>1059</v>
      </c>
      <c r="E290" s="4" t="b">
        <f t="shared" si="1"/>
        <v>0</v>
      </c>
      <c r="F290" s="3" t="str">
        <f>IFERROR(__xludf.DUMMYFUNCTION("IF(COUNTIF($D$2:$D1000, D290)&gt;1, MATCH(D290, UNIQUE(FILTER($D$2:$D1000, COUNTIF($D$2:$D1000, $D$2:$D1000)&gt;1)), 0), """")"),"")</f>
        <v/>
      </c>
      <c r="G290" s="8" t="s">
        <v>1060</v>
      </c>
      <c r="H290" s="8" t="s">
        <v>1061</v>
      </c>
      <c r="I290" s="8" t="s">
        <v>1062</v>
      </c>
      <c r="J290" s="8" t="s">
        <v>1063</v>
      </c>
    </row>
    <row r="291">
      <c r="A291" s="3">
        <v>10290.0</v>
      </c>
      <c r="B291" s="8" t="s">
        <v>308</v>
      </c>
      <c r="C291" s="8" t="s">
        <v>309</v>
      </c>
      <c r="D291" s="26" t="s">
        <v>1064</v>
      </c>
      <c r="E291" s="4" t="b">
        <f t="shared" si="1"/>
        <v>0</v>
      </c>
      <c r="F291" s="3" t="str">
        <f>IFERROR(__xludf.DUMMYFUNCTION("IF(COUNTIF($D$2:$D1000, D291)&gt;1, MATCH(D291, UNIQUE(FILTER($D$2:$D1000, COUNTIF($D$2:$D1000, $D$2:$D1000)&gt;1)), 0), """")"),"")</f>
        <v/>
      </c>
      <c r="G291" s="8" t="s">
        <v>1065</v>
      </c>
      <c r="H291" s="8" t="s">
        <v>1066</v>
      </c>
      <c r="I291" s="8" t="s">
        <v>1067</v>
      </c>
      <c r="J291" s="8" t="s">
        <v>1068</v>
      </c>
    </row>
    <row r="292">
      <c r="A292" s="3">
        <v>10291.0</v>
      </c>
      <c r="B292" s="8" t="s">
        <v>312</v>
      </c>
      <c r="C292" s="8" t="s">
        <v>313</v>
      </c>
      <c r="D292" s="26" t="s">
        <v>45</v>
      </c>
      <c r="E292" s="4" t="b">
        <f t="shared" si="1"/>
        <v>1</v>
      </c>
      <c r="F292" s="3">
        <f>IFERROR(__xludf.DUMMYFUNCTION("IF(COUNTIF($D$2:$D1000, D292)&gt;1, MATCH(D292, UNIQUE(FILTER($D$2:$D1000, COUNTIF($D$2:$D1000, $D$2:$D1000)&gt;1)), 0), """")"),8.0)</f>
        <v>8</v>
      </c>
      <c r="G292" s="8" t="s">
        <v>46</v>
      </c>
      <c r="H292" s="8" t="s">
        <v>47</v>
      </c>
      <c r="I292" s="8" t="s">
        <v>1069</v>
      </c>
      <c r="J292" s="8" t="s">
        <v>1070</v>
      </c>
    </row>
    <row r="293">
      <c r="A293" s="3">
        <v>10292.0</v>
      </c>
      <c r="B293" s="8" t="s">
        <v>312</v>
      </c>
      <c r="C293" s="8" t="s">
        <v>313</v>
      </c>
      <c r="D293" s="26" t="s">
        <v>376</v>
      </c>
      <c r="E293" s="4" t="b">
        <f t="shared" si="1"/>
        <v>1</v>
      </c>
      <c r="F293" s="3">
        <f>IFERROR(__xludf.DUMMYFUNCTION("IF(COUNTIF($D$2:$D1000, D293)&gt;1, MATCH(D293, UNIQUE(FILTER($D$2:$D1000, COUNTIF($D$2:$D1000, $D$2:$D1000)&gt;1)), 0), """")"),38.0)</f>
        <v>38</v>
      </c>
      <c r="G293" s="8" t="s">
        <v>377</v>
      </c>
      <c r="H293" s="8" t="s">
        <v>378</v>
      </c>
      <c r="I293" s="8" t="s">
        <v>1071</v>
      </c>
      <c r="J293" s="8" t="s">
        <v>1072</v>
      </c>
    </row>
    <row r="294">
      <c r="A294" s="3">
        <v>10293.0</v>
      </c>
      <c r="B294" s="8" t="s">
        <v>312</v>
      </c>
      <c r="C294" s="8" t="s">
        <v>313</v>
      </c>
      <c r="D294" s="26" t="s">
        <v>96</v>
      </c>
      <c r="E294" s="4" t="b">
        <f t="shared" si="1"/>
        <v>1</v>
      </c>
      <c r="F294" s="3">
        <f>IFERROR(__xludf.DUMMYFUNCTION("IF(COUNTIF($D$2:$D1000, D294)&gt;1, MATCH(D294, UNIQUE(FILTER($D$2:$D1000, COUNTIF($D$2:$D1000, $D$2:$D1000)&gt;1)), 0), """")"),14.0)</f>
        <v>14</v>
      </c>
      <c r="G294" s="8" t="s">
        <v>97</v>
      </c>
      <c r="H294" s="8" t="s">
        <v>98</v>
      </c>
      <c r="I294" s="8" t="s">
        <v>1073</v>
      </c>
      <c r="J294" s="8" t="s">
        <v>1074</v>
      </c>
    </row>
    <row r="295">
      <c r="A295" s="3">
        <v>10294.0</v>
      </c>
      <c r="B295" s="8" t="s">
        <v>312</v>
      </c>
      <c r="C295" s="8" t="s">
        <v>313</v>
      </c>
      <c r="D295" s="26" t="s">
        <v>452</v>
      </c>
      <c r="E295" s="4" t="b">
        <f t="shared" si="1"/>
        <v>1</v>
      </c>
      <c r="F295" s="3">
        <f>IFERROR(__xludf.DUMMYFUNCTION("IF(COUNTIF($D$2:$D1000, D295)&gt;1, MATCH(D295, UNIQUE(FILTER($D$2:$D1000, COUNTIF($D$2:$D1000, $D$2:$D1000)&gt;1)), 0), """")"),46.0)</f>
        <v>46</v>
      </c>
      <c r="G295" s="8" t="s">
        <v>453</v>
      </c>
      <c r="H295" s="8" t="s">
        <v>454</v>
      </c>
      <c r="I295" s="8" t="s">
        <v>1075</v>
      </c>
      <c r="J295" s="8" t="s">
        <v>1076</v>
      </c>
    </row>
    <row r="296">
      <c r="A296" s="3">
        <v>10295.0</v>
      </c>
      <c r="B296" s="8" t="s">
        <v>312</v>
      </c>
      <c r="C296" s="8" t="s">
        <v>313</v>
      </c>
      <c r="D296" s="26" t="s">
        <v>108</v>
      </c>
      <c r="E296" s="4" t="b">
        <f t="shared" si="1"/>
        <v>1</v>
      </c>
      <c r="F296" s="3">
        <f>IFERROR(__xludf.DUMMYFUNCTION("IF(COUNTIF($D$2:$D1000, D296)&gt;1, MATCH(D296, UNIQUE(FILTER($D$2:$D1000, COUNTIF($D$2:$D1000, $D$2:$D1000)&gt;1)), 0), """")"),16.0)</f>
        <v>16</v>
      </c>
      <c r="G296" s="8" t="s">
        <v>109</v>
      </c>
      <c r="H296" s="8" t="s">
        <v>110</v>
      </c>
      <c r="I296" s="8" t="s">
        <v>1077</v>
      </c>
      <c r="J296" s="8" t="s">
        <v>1078</v>
      </c>
    </row>
    <row r="297">
      <c r="A297" s="3">
        <v>10296.0</v>
      </c>
      <c r="B297" s="8" t="s">
        <v>312</v>
      </c>
      <c r="C297" s="8" t="s">
        <v>313</v>
      </c>
      <c r="D297" s="26" t="s">
        <v>1079</v>
      </c>
      <c r="E297" s="4" t="b">
        <f t="shared" si="1"/>
        <v>0</v>
      </c>
      <c r="F297" s="3" t="str">
        <f>IFERROR(__xludf.DUMMYFUNCTION("IF(COUNTIF($D$2:$D1000, D297)&gt;1, MATCH(D297, UNIQUE(FILTER($D$2:$D1000, COUNTIF($D$2:$D1000, $D$2:$D1000)&gt;1)), 0), """")"),"")</f>
        <v/>
      </c>
      <c r="G297" s="8" t="s">
        <v>1080</v>
      </c>
      <c r="H297" s="8" t="s">
        <v>1081</v>
      </c>
      <c r="I297" s="8" t="s">
        <v>1082</v>
      </c>
      <c r="J297" s="8" t="s">
        <v>1083</v>
      </c>
    </row>
    <row r="298">
      <c r="A298" s="3">
        <v>10297.0</v>
      </c>
      <c r="B298" s="8" t="s">
        <v>312</v>
      </c>
      <c r="C298" s="8" t="s">
        <v>313</v>
      </c>
      <c r="D298" s="26" t="s">
        <v>1084</v>
      </c>
      <c r="E298" s="4" t="b">
        <f t="shared" si="1"/>
        <v>1</v>
      </c>
      <c r="F298" s="3">
        <f>IFERROR(__xludf.DUMMYFUNCTION("IF(COUNTIF($D$2:$D1000, D298)&gt;1, MATCH(D298, UNIQUE(FILTER($D$2:$D1000, COUNTIF($D$2:$D1000, $D$2:$D1000)&gt;1)), 0), """")"),89.0)</f>
        <v>89</v>
      </c>
      <c r="G298" s="8" t="s">
        <v>1085</v>
      </c>
      <c r="H298" s="8" t="s">
        <v>1084</v>
      </c>
      <c r="I298" s="8" t="s">
        <v>1086</v>
      </c>
      <c r="J298" s="8" t="s">
        <v>1087</v>
      </c>
    </row>
    <row r="299">
      <c r="A299" s="3">
        <v>10298.0</v>
      </c>
      <c r="B299" s="8" t="s">
        <v>312</v>
      </c>
      <c r="C299" s="8" t="s">
        <v>313</v>
      </c>
      <c r="D299" s="26" t="s">
        <v>756</v>
      </c>
      <c r="E299" s="4" t="b">
        <f t="shared" si="1"/>
        <v>1</v>
      </c>
      <c r="F299" s="3">
        <f>IFERROR(__xludf.DUMMYFUNCTION("IF(COUNTIF($D$2:$D1000, D299)&gt;1, MATCH(D299, UNIQUE(FILTER($D$2:$D1000, COUNTIF($D$2:$D1000, $D$2:$D1000)&gt;1)), 0), """")"),75.0)</f>
        <v>75</v>
      </c>
      <c r="G299" s="8" t="s">
        <v>757</v>
      </c>
      <c r="H299" s="8" t="s">
        <v>758</v>
      </c>
      <c r="I299" s="8" t="s">
        <v>1088</v>
      </c>
      <c r="J299" s="8" t="s">
        <v>1089</v>
      </c>
    </row>
    <row r="300">
      <c r="A300" s="3">
        <v>10299.0</v>
      </c>
      <c r="B300" s="8" t="s">
        <v>312</v>
      </c>
      <c r="C300" s="8" t="s">
        <v>313</v>
      </c>
      <c r="D300" s="26" t="s">
        <v>1090</v>
      </c>
      <c r="E300" s="4" t="b">
        <f t="shared" si="1"/>
        <v>1</v>
      </c>
      <c r="F300" s="3">
        <f>IFERROR(__xludf.DUMMYFUNCTION("IF(COUNTIF($D$2:$D1000, D300)&gt;1, MATCH(D300, UNIQUE(FILTER($D$2:$D1000, COUNTIF($D$2:$D1000, $D$2:$D1000)&gt;1)), 0), """")"),90.0)</f>
        <v>90</v>
      </c>
      <c r="G300" s="8" t="s">
        <v>1091</v>
      </c>
      <c r="H300" s="8" t="s">
        <v>1092</v>
      </c>
      <c r="I300" s="8" t="s">
        <v>1093</v>
      </c>
      <c r="J300" s="8" t="s">
        <v>1094</v>
      </c>
    </row>
    <row r="301">
      <c r="A301" s="3">
        <v>10300.0</v>
      </c>
      <c r="B301" s="8" t="s">
        <v>312</v>
      </c>
      <c r="C301" s="8" t="s">
        <v>313</v>
      </c>
      <c r="D301" s="26" t="s">
        <v>1095</v>
      </c>
      <c r="E301" s="4" t="b">
        <f t="shared" si="1"/>
        <v>0</v>
      </c>
      <c r="F301" s="3" t="str">
        <f>IFERROR(__xludf.DUMMYFUNCTION("IF(COUNTIF($D$2:$D1000, D301)&gt;1, MATCH(D301, UNIQUE(FILTER($D$2:$D1000, COUNTIF($D$2:$D1000, $D$2:$D1000)&gt;1)), 0), """")"),"")</f>
        <v/>
      </c>
      <c r="G301" s="8" t="s">
        <v>1096</v>
      </c>
      <c r="H301" s="8" t="s">
        <v>1097</v>
      </c>
      <c r="I301" s="8" t="s">
        <v>1098</v>
      </c>
      <c r="J301" s="8" t="s">
        <v>1099</v>
      </c>
    </row>
    <row r="302">
      <c r="A302" s="3">
        <v>10301.0</v>
      </c>
      <c r="B302" s="8" t="s">
        <v>312</v>
      </c>
      <c r="C302" s="8" t="s">
        <v>313</v>
      </c>
      <c r="D302" s="26" t="s">
        <v>1100</v>
      </c>
      <c r="E302" s="4" t="b">
        <f t="shared" si="1"/>
        <v>0</v>
      </c>
      <c r="F302" s="3" t="str">
        <f>IFERROR(__xludf.DUMMYFUNCTION("IF(COUNTIF($D$2:$D1000, D302)&gt;1, MATCH(D302, UNIQUE(FILTER($D$2:$D1000, COUNTIF($D$2:$D1000, $D$2:$D1000)&gt;1)), 0), """")"),"")</f>
        <v/>
      </c>
      <c r="G302" s="8" t="s">
        <v>1101</v>
      </c>
      <c r="H302" s="8" t="s">
        <v>1102</v>
      </c>
      <c r="I302" s="8" t="s">
        <v>1103</v>
      </c>
      <c r="J302" s="8" t="s">
        <v>1104</v>
      </c>
    </row>
    <row r="303">
      <c r="A303" s="3">
        <v>10302.0</v>
      </c>
      <c r="B303" s="8" t="s">
        <v>312</v>
      </c>
      <c r="C303" s="8" t="s">
        <v>313</v>
      </c>
      <c r="D303" s="26" t="s">
        <v>20</v>
      </c>
      <c r="E303" s="4" t="b">
        <f t="shared" si="1"/>
        <v>1</v>
      </c>
      <c r="F303" s="3">
        <f>IFERROR(__xludf.DUMMYFUNCTION("IF(COUNTIF($D$2:$D1000, D303)&gt;1, MATCH(D303, UNIQUE(FILTER($D$2:$D1000, COUNTIF($D$2:$D1000, $D$2:$D1000)&gt;1)), 0), """")"),3.0)</f>
        <v>3</v>
      </c>
      <c r="G303" s="8" t="s">
        <v>21</v>
      </c>
      <c r="H303" s="8" t="s">
        <v>22</v>
      </c>
      <c r="I303" s="8" t="s">
        <v>1105</v>
      </c>
      <c r="J303" s="8" t="s">
        <v>1106</v>
      </c>
    </row>
    <row r="304">
      <c r="A304" s="3">
        <v>10303.0</v>
      </c>
      <c r="B304" s="8" t="s">
        <v>312</v>
      </c>
      <c r="C304" s="8" t="s">
        <v>313</v>
      </c>
      <c r="D304" s="26" t="s">
        <v>30</v>
      </c>
      <c r="E304" s="4" t="b">
        <f t="shared" si="1"/>
        <v>1</v>
      </c>
      <c r="F304" s="3">
        <f>IFERROR(__xludf.DUMMYFUNCTION("IF(COUNTIF($D$2:$D1000, D304)&gt;1, MATCH(D304, UNIQUE(FILTER($D$2:$D1000, COUNTIF($D$2:$D1000, $D$2:$D1000)&gt;1)), 0), """")"),5.0)</f>
        <v>5</v>
      </c>
      <c r="G304" s="8" t="s">
        <v>31</v>
      </c>
      <c r="H304" s="8" t="s">
        <v>32</v>
      </c>
      <c r="I304" s="8" t="s">
        <v>1107</v>
      </c>
      <c r="J304" s="8" t="s">
        <v>1108</v>
      </c>
    </row>
    <row r="305">
      <c r="A305" s="3">
        <v>10304.0</v>
      </c>
      <c r="B305" s="8" t="s">
        <v>312</v>
      </c>
      <c r="C305" s="8" t="s">
        <v>313</v>
      </c>
      <c r="D305" s="26" t="s">
        <v>1109</v>
      </c>
      <c r="E305" s="4" t="b">
        <f t="shared" si="1"/>
        <v>0</v>
      </c>
      <c r="F305" s="3" t="str">
        <f>IFERROR(__xludf.DUMMYFUNCTION("IF(COUNTIF($D$2:$D1000, D305)&gt;1, MATCH(D305, UNIQUE(FILTER($D$2:$D1000, COUNTIF($D$2:$D1000, $D$2:$D1000)&gt;1)), 0), """")"),"")</f>
        <v/>
      </c>
      <c r="G305" s="8" t="s">
        <v>1110</v>
      </c>
      <c r="H305" s="8" t="s">
        <v>1111</v>
      </c>
      <c r="I305" s="8" t="s">
        <v>1112</v>
      </c>
      <c r="J305" s="8" t="s">
        <v>1113</v>
      </c>
    </row>
    <row r="306">
      <c r="A306" s="3">
        <v>10305.0</v>
      </c>
      <c r="B306" s="8" t="s">
        <v>312</v>
      </c>
      <c r="C306" s="8" t="s">
        <v>313</v>
      </c>
      <c r="D306" s="26" t="s">
        <v>1114</v>
      </c>
      <c r="E306" s="4" t="b">
        <f t="shared" si="1"/>
        <v>0</v>
      </c>
      <c r="F306" s="3" t="str">
        <f>IFERROR(__xludf.DUMMYFUNCTION("IF(COUNTIF($D$2:$D1000, D306)&gt;1, MATCH(D306, UNIQUE(FILTER($D$2:$D1000, COUNTIF($D$2:$D1000, $D$2:$D1000)&gt;1)), 0), """")"),"")</f>
        <v/>
      </c>
      <c r="G306" s="8" t="s">
        <v>1115</v>
      </c>
      <c r="H306" s="8" t="s">
        <v>1116</v>
      </c>
      <c r="I306" s="8" t="s">
        <v>1117</v>
      </c>
      <c r="J306" s="8" t="s">
        <v>1118</v>
      </c>
    </row>
    <row r="307">
      <c r="A307" s="3">
        <v>10306.0</v>
      </c>
      <c r="B307" s="8" t="s">
        <v>295</v>
      </c>
      <c r="C307" s="8" t="s">
        <v>296</v>
      </c>
      <c r="D307" s="26" t="s">
        <v>304</v>
      </c>
      <c r="E307" s="4" t="b">
        <f t="shared" si="1"/>
        <v>1</v>
      </c>
      <c r="F307" s="3">
        <f>IFERROR(__xludf.DUMMYFUNCTION("IF(COUNTIF($D$2:$D1000, D307)&gt;1, MATCH(D307, UNIQUE(FILTER($D$2:$D1000, COUNTIF($D$2:$D1000, $D$2:$D1000)&gt;1)), 0), """")"),27.0)</f>
        <v>27</v>
      </c>
      <c r="G307" s="8" t="s">
        <v>305</v>
      </c>
      <c r="H307" s="8" t="s">
        <v>304</v>
      </c>
      <c r="I307" s="8" t="s">
        <v>1119</v>
      </c>
      <c r="J307" s="8" t="s">
        <v>1120</v>
      </c>
    </row>
    <row r="308">
      <c r="A308" s="3">
        <v>10307.0</v>
      </c>
      <c r="B308" s="8" t="s">
        <v>295</v>
      </c>
      <c r="C308" s="8" t="s">
        <v>296</v>
      </c>
      <c r="D308" s="26" t="s">
        <v>1121</v>
      </c>
      <c r="E308" s="4" t="b">
        <f t="shared" si="1"/>
        <v>0</v>
      </c>
      <c r="F308" s="3" t="str">
        <f>IFERROR(__xludf.DUMMYFUNCTION("IF(COUNTIF($D$2:$D1000, D308)&gt;1, MATCH(D308, UNIQUE(FILTER($D$2:$D1000, COUNTIF($D$2:$D1000, $D$2:$D1000)&gt;1)), 0), """")"),"")</f>
        <v/>
      </c>
      <c r="G308" s="8" t="s">
        <v>1122</v>
      </c>
      <c r="H308" s="8" t="s">
        <v>1123</v>
      </c>
      <c r="I308" s="8" t="s">
        <v>1124</v>
      </c>
      <c r="J308" s="8" t="s">
        <v>1125</v>
      </c>
    </row>
    <row r="309">
      <c r="A309" s="3">
        <v>10308.0</v>
      </c>
      <c r="B309" s="8" t="s">
        <v>295</v>
      </c>
      <c r="C309" s="8" t="s">
        <v>296</v>
      </c>
      <c r="D309" s="26" t="s">
        <v>316</v>
      </c>
      <c r="E309" s="4" t="b">
        <f t="shared" si="1"/>
        <v>1</v>
      </c>
      <c r="F309" s="3">
        <f>IFERROR(__xludf.DUMMYFUNCTION("IF(COUNTIF($D$2:$D1000, D309)&gt;1, MATCH(D309, UNIQUE(FILTER($D$2:$D1000, COUNTIF($D$2:$D1000, $D$2:$D1000)&gt;1)), 0), """")"),28.0)</f>
        <v>28</v>
      </c>
      <c r="G309" s="8" t="s">
        <v>317</v>
      </c>
      <c r="H309" s="8" t="s">
        <v>318</v>
      </c>
      <c r="I309" s="8" t="s">
        <v>1126</v>
      </c>
      <c r="J309" s="8" t="s">
        <v>1127</v>
      </c>
    </row>
    <row r="310">
      <c r="A310" s="3">
        <v>10309.0</v>
      </c>
      <c r="B310" s="8" t="s">
        <v>295</v>
      </c>
      <c r="C310" s="8" t="s">
        <v>296</v>
      </c>
      <c r="D310" s="26" t="s">
        <v>327</v>
      </c>
      <c r="E310" s="4" t="b">
        <f t="shared" si="1"/>
        <v>1</v>
      </c>
      <c r="F310" s="3">
        <f>IFERROR(__xludf.DUMMYFUNCTION("IF(COUNTIF($D$2:$D1000, D310)&gt;1, MATCH(D310, UNIQUE(FILTER($D$2:$D1000, COUNTIF($D$2:$D1000, $D$2:$D1000)&gt;1)), 0), """")"),30.0)</f>
        <v>30</v>
      </c>
      <c r="G310" s="8" t="s">
        <v>328</v>
      </c>
      <c r="H310" s="8" t="s">
        <v>327</v>
      </c>
      <c r="I310" s="8" t="s">
        <v>1128</v>
      </c>
      <c r="J310" s="8" t="s">
        <v>1129</v>
      </c>
    </row>
    <row r="311">
      <c r="A311" s="3">
        <v>10310.0</v>
      </c>
      <c r="B311" s="8" t="s">
        <v>295</v>
      </c>
      <c r="C311" s="8" t="s">
        <v>296</v>
      </c>
      <c r="D311" s="11" t="s">
        <v>465</v>
      </c>
      <c r="E311" s="4" t="b">
        <f t="shared" si="1"/>
        <v>1</v>
      </c>
      <c r="F311" s="3">
        <f>IFERROR(__xludf.DUMMYFUNCTION("IF(COUNTIF($D$2:$D1000, D311)&gt;1, MATCH(D311, UNIQUE(FILTER($D$2:$D1000, COUNTIF($D$2:$D1000, $D$2:$D1000)&gt;1)), 0), """")"),47.0)</f>
        <v>47</v>
      </c>
      <c r="G311" s="8" t="s">
        <v>466</v>
      </c>
      <c r="H311" s="8" t="s">
        <v>467</v>
      </c>
      <c r="I311" s="8" t="s">
        <v>1130</v>
      </c>
      <c r="J311" s="8" t="s">
        <v>1131</v>
      </c>
    </row>
    <row r="312">
      <c r="A312" s="3">
        <v>10311.0</v>
      </c>
      <c r="B312" s="8" t="s">
        <v>295</v>
      </c>
      <c r="C312" s="8" t="s">
        <v>296</v>
      </c>
      <c r="D312" s="26" t="s">
        <v>108</v>
      </c>
      <c r="E312" s="4" t="b">
        <f t="shared" si="1"/>
        <v>1</v>
      </c>
      <c r="F312" s="3">
        <f>IFERROR(__xludf.DUMMYFUNCTION("IF(COUNTIF($D$2:$D1000, D312)&gt;1, MATCH(D312, UNIQUE(FILTER($D$2:$D1000, COUNTIF($D$2:$D1000, $D$2:$D1000)&gt;1)), 0), """")"),16.0)</f>
        <v>16</v>
      </c>
      <c r="G312" s="8" t="s">
        <v>109</v>
      </c>
      <c r="H312" s="8" t="s">
        <v>110</v>
      </c>
      <c r="I312" s="8" t="s">
        <v>1132</v>
      </c>
      <c r="J312" s="8" t="s">
        <v>1133</v>
      </c>
    </row>
    <row r="313">
      <c r="A313" s="3">
        <v>10312.0</v>
      </c>
      <c r="B313" s="8" t="s">
        <v>295</v>
      </c>
      <c r="C313" s="8" t="s">
        <v>296</v>
      </c>
      <c r="D313" s="26" t="s">
        <v>263</v>
      </c>
      <c r="E313" s="4" t="b">
        <f t="shared" si="1"/>
        <v>1</v>
      </c>
      <c r="F313" s="3">
        <f>IFERROR(__xludf.DUMMYFUNCTION("IF(COUNTIF($D$2:$D1000, D313)&gt;1, MATCH(D313, UNIQUE(FILTER($D$2:$D1000, COUNTIF($D$2:$D1000, $D$2:$D1000)&gt;1)), 0), """")"),23.0)</f>
        <v>23</v>
      </c>
      <c r="G313" s="8" t="s">
        <v>264</v>
      </c>
      <c r="H313" s="8" t="s">
        <v>265</v>
      </c>
      <c r="I313" s="8" t="s">
        <v>1134</v>
      </c>
      <c r="J313" s="8" t="s">
        <v>1135</v>
      </c>
    </row>
    <row r="314">
      <c r="A314" s="3">
        <v>10313.0</v>
      </c>
      <c r="B314" s="8" t="s">
        <v>295</v>
      </c>
      <c r="C314" s="8" t="s">
        <v>296</v>
      </c>
      <c r="D314" s="26" t="s">
        <v>1136</v>
      </c>
      <c r="E314" s="4" t="b">
        <f t="shared" si="1"/>
        <v>0</v>
      </c>
      <c r="F314" s="3" t="str">
        <f>IFERROR(__xludf.DUMMYFUNCTION("IF(COUNTIF($D$2:$D1000, D314)&gt;1, MATCH(D314, UNIQUE(FILTER($D$2:$D1000, COUNTIF($D$2:$D1000, $D$2:$D1000)&gt;1)), 0), """")"),"")</f>
        <v/>
      </c>
      <c r="G314" s="8" t="s">
        <v>1137</v>
      </c>
      <c r="H314" s="8" t="s">
        <v>1138</v>
      </c>
      <c r="I314" s="8" t="s">
        <v>1139</v>
      </c>
      <c r="J314" s="8" t="s">
        <v>1140</v>
      </c>
    </row>
    <row r="315">
      <c r="A315" s="3">
        <v>10314.0</v>
      </c>
      <c r="B315" s="8" t="s">
        <v>295</v>
      </c>
      <c r="C315" s="8" t="s">
        <v>296</v>
      </c>
      <c r="D315" s="26" t="s">
        <v>1141</v>
      </c>
      <c r="E315" s="4" t="b">
        <f t="shared" si="1"/>
        <v>0</v>
      </c>
      <c r="F315" s="3" t="str">
        <f>IFERROR(__xludf.DUMMYFUNCTION("IF(COUNTIF($D$2:$D1000, D315)&gt;1, MATCH(D315, UNIQUE(FILTER($D$2:$D1000, COUNTIF($D$2:$D1000, $D$2:$D1000)&gt;1)), 0), """")"),"")</f>
        <v/>
      </c>
      <c r="G315" s="8" t="s">
        <v>1142</v>
      </c>
      <c r="H315" s="8" t="s">
        <v>1143</v>
      </c>
      <c r="I315" s="8" t="s">
        <v>1144</v>
      </c>
      <c r="J315" s="8" t="s">
        <v>1145</v>
      </c>
    </row>
    <row r="316">
      <c r="A316" s="3">
        <v>10315.0</v>
      </c>
      <c r="B316" s="8" t="s">
        <v>295</v>
      </c>
      <c r="C316" s="8" t="s">
        <v>296</v>
      </c>
      <c r="D316" s="26" t="s">
        <v>178</v>
      </c>
      <c r="E316" s="4" t="b">
        <f t="shared" si="1"/>
        <v>1</v>
      </c>
      <c r="F316" s="3">
        <f>IFERROR(__xludf.DUMMYFUNCTION("IF(COUNTIF($D$2:$D1000, D316)&gt;1, MATCH(D316, UNIQUE(FILTER($D$2:$D1000, COUNTIF($D$2:$D1000, $D$2:$D1000)&gt;1)), 0), """")"),20.0)</f>
        <v>20</v>
      </c>
      <c r="G316" s="8" t="s">
        <v>179</v>
      </c>
      <c r="H316" s="8" t="s">
        <v>178</v>
      </c>
      <c r="I316" s="8" t="s">
        <v>1146</v>
      </c>
      <c r="J316" s="8" t="s">
        <v>1147</v>
      </c>
    </row>
    <row r="317">
      <c r="A317" s="3">
        <v>10316.0</v>
      </c>
      <c r="B317" s="8" t="s">
        <v>295</v>
      </c>
      <c r="C317" s="8" t="s">
        <v>296</v>
      </c>
      <c r="D317" s="26" t="s">
        <v>1148</v>
      </c>
      <c r="E317" s="4" t="b">
        <f t="shared" si="1"/>
        <v>0</v>
      </c>
      <c r="F317" s="3" t="str">
        <f>IFERROR(__xludf.DUMMYFUNCTION("IF(COUNTIF($D$2:$D1000, D317)&gt;1, MATCH(D317, UNIQUE(FILTER($D$2:$D1000, COUNTIF($D$2:$D1000, $D$2:$D1000)&gt;1)), 0), """")"),"")</f>
        <v/>
      </c>
      <c r="G317" s="8" t="s">
        <v>1149</v>
      </c>
      <c r="H317" s="8" t="s">
        <v>1150</v>
      </c>
      <c r="I317" s="8" t="s">
        <v>1151</v>
      </c>
      <c r="J317" s="8" t="s">
        <v>1152</v>
      </c>
    </row>
    <row r="318">
      <c r="A318" s="3">
        <v>10317.0</v>
      </c>
      <c r="B318" s="8" t="s">
        <v>295</v>
      </c>
      <c r="C318" s="8" t="s">
        <v>296</v>
      </c>
      <c r="D318" s="26" t="s">
        <v>25</v>
      </c>
      <c r="E318" s="4" t="b">
        <f t="shared" si="1"/>
        <v>1</v>
      </c>
      <c r="F318" s="3">
        <f>IFERROR(__xludf.DUMMYFUNCTION("IF(COUNTIF($D$2:$D1000, D318)&gt;1, MATCH(D318, UNIQUE(FILTER($D$2:$D1000, COUNTIF($D$2:$D1000, $D$2:$D1000)&gt;1)), 0), """")"),4.0)</f>
        <v>4</v>
      </c>
      <c r="G318" s="8" t="s">
        <v>26</v>
      </c>
      <c r="H318" s="8" t="s">
        <v>27</v>
      </c>
      <c r="I318" s="8" t="s">
        <v>1153</v>
      </c>
      <c r="J318" s="8" t="s">
        <v>1154</v>
      </c>
    </row>
    <row r="319">
      <c r="A319" s="3">
        <v>10318.0</v>
      </c>
      <c r="B319" s="8" t="s">
        <v>295</v>
      </c>
      <c r="C319" s="8" t="s">
        <v>296</v>
      </c>
      <c r="D319" s="26" t="s">
        <v>342</v>
      </c>
      <c r="E319" s="4" t="b">
        <f t="shared" si="1"/>
        <v>1</v>
      </c>
      <c r="F319" s="3">
        <f>IFERROR(__xludf.DUMMYFUNCTION("IF(COUNTIF($D$2:$D1000, D319)&gt;1, MATCH(D319, UNIQUE(FILTER($D$2:$D1000, COUNTIF($D$2:$D1000, $D$2:$D1000)&gt;1)), 0), """")"),33.0)</f>
        <v>33</v>
      </c>
      <c r="G319" s="8" t="s">
        <v>343</v>
      </c>
      <c r="H319" s="8" t="s">
        <v>344</v>
      </c>
      <c r="I319" s="8" t="s">
        <v>1155</v>
      </c>
      <c r="J319" s="8" t="s">
        <v>1156</v>
      </c>
    </row>
    <row r="320">
      <c r="A320" s="3">
        <v>10319.0</v>
      </c>
      <c r="B320" s="8" t="s">
        <v>295</v>
      </c>
      <c r="C320" s="8" t="s">
        <v>296</v>
      </c>
      <c r="D320" s="26" t="s">
        <v>513</v>
      </c>
      <c r="E320" s="4" t="b">
        <f t="shared" si="1"/>
        <v>1</v>
      </c>
      <c r="F320" s="3">
        <f>IFERROR(__xludf.DUMMYFUNCTION("IF(COUNTIF($D$2:$D1000, D320)&gt;1, MATCH(D320, UNIQUE(FILTER($D$2:$D1000, COUNTIF($D$2:$D1000, $D$2:$D1000)&gt;1)), 0), """")"),51.0)</f>
        <v>51</v>
      </c>
      <c r="G320" s="8" t="s">
        <v>514</v>
      </c>
      <c r="H320" s="8" t="s">
        <v>515</v>
      </c>
      <c r="I320" s="8" t="s">
        <v>1157</v>
      </c>
      <c r="J320" s="8" t="s">
        <v>1158</v>
      </c>
    </row>
    <row r="321">
      <c r="A321" s="3">
        <v>10320.0</v>
      </c>
      <c r="B321" s="8" t="s">
        <v>295</v>
      </c>
      <c r="C321" s="8" t="s">
        <v>296</v>
      </c>
      <c r="D321" s="26" t="s">
        <v>321</v>
      </c>
      <c r="E321" s="4" t="b">
        <f t="shared" si="1"/>
        <v>1</v>
      </c>
      <c r="F321" s="3">
        <f>IFERROR(__xludf.DUMMYFUNCTION("IF(COUNTIF($D$2:$D1000, D321)&gt;1, MATCH(D321, UNIQUE(FILTER($D$2:$D1000, COUNTIF($D$2:$D1000, $D$2:$D1000)&gt;1)), 0), """")"),29.0)</f>
        <v>29</v>
      </c>
      <c r="G321" s="8" t="s">
        <v>322</v>
      </c>
      <c r="H321" s="8" t="s">
        <v>321</v>
      </c>
      <c r="I321" s="8" t="s">
        <v>1159</v>
      </c>
      <c r="J321" s="8" t="s">
        <v>1160</v>
      </c>
    </row>
    <row r="322">
      <c r="A322" s="3">
        <v>10321.0</v>
      </c>
      <c r="B322" s="8" t="s">
        <v>8</v>
      </c>
      <c r="C322" s="8" t="s">
        <v>9</v>
      </c>
      <c r="D322" s="26" t="s">
        <v>1161</v>
      </c>
      <c r="E322" s="4" t="b">
        <f t="shared" si="1"/>
        <v>0</v>
      </c>
      <c r="F322" s="3" t="str">
        <f>IFERROR(__xludf.DUMMYFUNCTION("IF(COUNTIF($D$2:$D1000, D322)&gt;1, MATCH(D322, UNIQUE(FILTER($D$2:$D1000, COUNTIF($D$2:$D1000, $D$2:$D1000)&gt;1)), 0), """")"),"")</f>
        <v/>
      </c>
      <c r="G322" s="8" t="s">
        <v>1162</v>
      </c>
      <c r="H322" s="8" t="s">
        <v>1163</v>
      </c>
      <c r="I322" s="8" t="s">
        <v>1164</v>
      </c>
      <c r="J322" s="8" t="s">
        <v>1165</v>
      </c>
    </row>
    <row r="323">
      <c r="A323" s="3">
        <v>10322.0</v>
      </c>
      <c r="B323" s="8" t="s">
        <v>8</v>
      </c>
      <c r="C323" s="8" t="s">
        <v>9</v>
      </c>
      <c r="D323" s="26" t="s">
        <v>547</v>
      </c>
      <c r="E323" s="4" t="b">
        <f t="shared" si="1"/>
        <v>1</v>
      </c>
      <c r="F323" s="3">
        <f>IFERROR(__xludf.DUMMYFUNCTION("IF(COUNTIF($D$2:$D1000, D323)&gt;1, MATCH(D323, UNIQUE(FILTER($D$2:$D1000, COUNTIF($D$2:$D1000, $D$2:$D1000)&gt;1)), 0), """")"),56.0)</f>
        <v>56</v>
      </c>
      <c r="G323" s="8" t="s">
        <v>548</v>
      </c>
      <c r="H323" s="8" t="s">
        <v>549</v>
      </c>
      <c r="I323" s="8" t="s">
        <v>1166</v>
      </c>
      <c r="J323" s="8" t="s">
        <v>1167</v>
      </c>
    </row>
    <row r="324">
      <c r="A324" s="3">
        <v>10323.0</v>
      </c>
      <c r="B324" s="8" t="s">
        <v>8</v>
      </c>
      <c r="C324" s="8" t="s">
        <v>9</v>
      </c>
      <c r="D324" s="26" t="s">
        <v>347</v>
      </c>
      <c r="E324" s="4" t="b">
        <f t="shared" si="1"/>
        <v>1</v>
      </c>
      <c r="F324" s="3">
        <f>IFERROR(__xludf.DUMMYFUNCTION("IF(COUNTIF($D$2:$D1000, D324)&gt;1, MATCH(D324, UNIQUE(FILTER($D$2:$D1000, COUNTIF($D$2:$D1000, $D$2:$D1000)&gt;1)), 0), """")"),34.0)</f>
        <v>34</v>
      </c>
      <c r="G324" s="11" t="s">
        <v>348</v>
      </c>
      <c r="H324" s="12" t="s">
        <v>349</v>
      </c>
      <c r="I324" s="8" t="s">
        <v>1168</v>
      </c>
      <c r="J324" s="8" t="s">
        <v>1169</v>
      </c>
    </row>
    <row r="325">
      <c r="A325" s="3">
        <v>10324.0</v>
      </c>
      <c r="B325" s="8" t="s">
        <v>8</v>
      </c>
      <c r="C325" s="8" t="s">
        <v>9</v>
      </c>
      <c r="D325" s="26" t="s">
        <v>559</v>
      </c>
      <c r="E325" s="4" t="b">
        <f t="shared" si="1"/>
        <v>1</v>
      </c>
      <c r="F325" s="3">
        <f>IFERROR(__xludf.DUMMYFUNCTION("IF(COUNTIF($D$2:$D1000, D325)&gt;1, MATCH(D325, UNIQUE(FILTER($D$2:$D1000, COUNTIF($D$2:$D1000, $D$2:$D1000)&gt;1)), 0), """")"),58.0)</f>
        <v>58</v>
      </c>
      <c r="G325" s="8" t="s">
        <v>560</v>
      </c>
      <c r="H325" s="8" t="s">
        <v>561</v>
      </c>
      <c r="I325" s="8" t="s">
        <v>1170</v>
      </c>
      <c r="J325" s="8" t="s">
        <v>1171</v>
      </c>
    </row>
    <row r="326">
      <c r="A326" s="3">
        <v>10325.0</v>
      </c>
      <c r="B326" s="8" t="s">
        <v>8</v>
      </c>
      <c r="C326" s="8" t="s">
        <v>9</v>
      </c>
      <c r="D326" s="26" t="s">
        <v>569</v>
      </c>
      <c r="E326" s="4" t="b">
        <f t="shared" si="1"/>
        <v>1</v>
      </c>
      <c r="F326" s="3">
        <f>IFERROR(__xludf.DUMMYFUNCTION("IF(COUNTIF($D$2:$D1000, D326)&gt;1, MATCH(D326, UNIQUE(FILTER($D$2:$D1000, COUNTIF($D$2:$D1000, $D$2:$D1000)&gt;1)), 0), """")"),60.0)</f>
        <v>60</v>
      </c>
      <c r="G326" s="8" t="s">
        <v>570</v>
      </c>
      <c r="H326" s="8" t="s">
        <v>571</v>
      </c>
      <c r="I326" s="8" t="s">
        <v>1172</v>
      </c>
      <c r="J326" s="8" t="s">
        <v>1173</v>
      </c>
    </row>
    <row r="327">
      <c r="A327" s="3">
        <v>10326.0</v>
      </c>
      <c r="B327" s="8" t="s">
        <v>8</v>
      </c>
      <c r="C327" s="8" t="s">
        <v>9</v>
      </c>
      <c r="D327" s="26" t="s">
        <v>263</v>
      </c>
      <c r="E327" s="4" t="b">
        <f t="shared" si="1"/>
        <v>1</v>
      </c>
      <c r="F327" s="3">
        <f>IFERROR(__xludf.DUMMYFUNCTION("IF(COUNTIF($D$2:$D1000, D327)&gt;1, MATCH(D327, UNIQUE(FILTER($D$2:$D1000, COUNTIF($D$2:$D1000, $D$2:$D1000)&gt;1)), 0), """")"),23.0)</f>
        <v>23</v>
      </c>
      <c r="G327" s="8" t="s">
        <v>264</v>
      </c>
      <c r="H327" s="8" t="s">
        <v>265</v>
      </c>
      <c r="I327" s="8" t="s">
        <v>1174</v>
      </c>
      <c r="J327" s="8" t="s">
        <v>1175</v>
      </c>
    </row>
    <row r="328">
      <c r="A328" s="3">
        <v>10327.0</v>
      </c>
      <c r="B328" s="8" t="s">
        <v>8</v>
      </c>
      <c r="C328" s="8" t="s">
        <v>9</v>
      </c>
      <c r="D328" s="26" t="s">
        <v>290</v>
      </c>
      <c r="E328" s="4" t="b">
        <f t="shared" si="1"/>
        <v>1</v>
      </c>
      <c r="F328" s="3">
        <f>IFERROR(__xludf.DUMMYFUNCTION("IF(COUNTIF($D$2:$D1000, D328)&gt;1, MATCH(D328, UNIQUE(FILTER($D$2:$D1000, COUNTIF($D$2:$D1000, $D$2:$D1000)&gt;1)), 0), """")"),26.0)</f>
        <v>26</v>
      </c>
      <c r="G328" s="8" t="s">
        <v>291</v>
      </c>
      <c r="H328" s="8" t="s">
        <v>292</v>
      </c>
      <c r="I328" s="8" t="s">
        <v>1176</v>
      </c>
      <c r="J328" s="8" t="s">
        <v>1177</v>
      </c>
    </row>
    <row r="329">
      <c r="A329" s="3">
        <v>10328.0</v>
      </c>
      <c r="B329" s="8" t="s">
        <v>8</v>
      </c>
      <c r="C329" s="8" t="s">
        <v>9</v>
      </c>
      <c r="D329" s="26" t="s">
        <v>1178</v>
      </c>
      <c r="E329" s="4" t="b">
        <f t="shared" si="1"/>
        <v>0</v>
      </c>
      <c r="F329" s="3" t="str">
        <f>IFERROR(__xludf.DUMMYFUNCTION("IF(COUNTIF($D$2:$D1000, D329)&gt;1, MATCH(D329, UNIQUE(FILTER($D$2:$D1000, COUNTIF($D$2:$D1000, $D$2:$D1000)&gt;1)), 0), """")"),"")</f>
        <v/>
      </c>
      <c r="G329" s="8" t="s">
        <v>1179</v>
      </c>
      <c r="H329" s="8" t="s">
        <v>1180</v>
      </c>
      <c r="I329" s="8" t="s">
        <v>1181</v>
      </c>
      <c r="J329" s="8" t="s">
        <v>1182</v>
      </c>
    </row>
    <row r="330">
      <c r="A330" s="3">
        <v>10329.0</v>
      </c>
      <c r="B330" s="8" t="s">
        <v>8</v>
      </c>
      <c r="C330" s="8" t="s">
        <v>9</v>
      </c>
      <c r="D330" s="26" t="s">
        <v>376</v>
      </c>
      <c r="E330" s="4" t="b">
        <f t="shared" si="1"/>
        <v>1</v>
      </c>
      <c r="F330" s="3">
        <f>IFERROR(__xludf.DUMMYFUNCTION("IF(COUNTIF($D$2:$D1000, D330)&gt;1, MATCH(D330, UNIQUE(FILTER($D$2:$D1000, COUNTIF($D$2:$D1000, $D$2:$D1000)&gt;1)), 0), """")"),38.0)</f>
        <v>38</v>
      </c>
      <c r="G330" s="8" t="s">
        <v>377</v>
      </c>
      <c r="H330" s="8" t="s">
        <v>378</v>
      </c>
      <c r="I330" s="8" t="s">
        <v>1183</v>
      </c>
      <c r="J330" s="8" t="s">
        <v>1184</v>
      </c>
    </row>
    <row r="331">
      <c r="A331" s="3">
        <v>10330.0</v>
      </c>
      <c r="B331" s="8" t="s">
        <v>8</v>
      </c>
      <c r="C331" s="8" t="s">
        <v>9</v>
      </c>
      <c r="D331" s="26" t="s">
        <v>564</v>
      </c>
      <c r="E331" s="4" t="b">
        <f t="shared" si="1"/>
        <v>1</v>
      </c>
      <c r="F331" s="3">
        <f>IFERROR(__xludf.DUMMYFUNCTION("IF(COUNTIF($D$2:$D1000, D331)&gt;1, MATCH(D331, UNIQUE(FILTER($D$2:$D1000, COUNTIF($D$2:$D1000, $D$2:$D1000)&gt;1)), 0), """")"),59.0)</f>
        <v>59</v>
      </c>
      <c r="G331" s="8" t="s">
        <v>565</v>
      </c>
      <c r="H331" s="8" t="s">
        <v>566</v>
      </c>
      <c r="I331" s="8" t="s">
        <v>1185</v>
      </c>
      <c r="J331" s="8" t="s">
        <v>1186</v>
      </c>
    </row>
    <row r="332">
      <c r="A332" s="3">
        <v>10331.0</v>
      </c>
      <c r="B332" s="8" t="s">
        <v>8</v>
      </c>
      <c r="C332" s="8" t="s">
        <v>9</v>
      </c>
      <c r="D332" s="26" t="s">
        <v>882</v>
      </c>
      <c r="E332" s="4" t="b">
        <f t="shared" si="1"/>
        <v>1</v>
      </c>
      <c r="F332" s="3">
        <f>IFERROR(__xludf.DUMMYFUNCTION("IF(COUNTIF($D$2:$D1000, D332)&gt;1, MATCH(D332, UNIQUE(FILTER($D$2:$D1000, COUNTIF($D$2:$D1000, $D$2:$D1000)&gt;1)), 0), """")"),83.0)</f>
        <v>83</v>
      </c>
      <c r="G332" s="8" t="s">
        <v>883</v>
      </c>
      <c r="H332" s="8" t="s">
        <v>884</v>
      </c>
      <c r="I332" s="8" t="s">
        <v>1187</v>
      </c>
      <c r="J332" s="8" t="s">
        <v>1188</v>
      </c>
    </row>
    <row r="333">
      <c r="A333" s="3">
        <v>10332.0</v>
      </c>
      <c r="B333" s="8" t="s">
        <v>8</v>
      </c>
      <c r="C333" s="8" t="s">
        <v>9</v>
      </c>
      <c r="D333" s="26" t="s">
        <v>1189</v>
      </c>
      <c r="E333" s="4" t="b">
        <f t="shared" si="1"/>
        <v>0</v>
      </c>
      <c r="F333" s="3" t="str">
        <f>IFERROR(__xludf.DUMMYFUNCTION("IF(COUNTIF($D$2:$D1000, D333)&gt;1, MATCH(D333, UNIQUE(FILTER($D$2:$D1000, COUNTIF($D$2:$D1000, $D$2:$D1000)&gt;1)), 0), """")"),"")</f>
        <v/>
      </c>
      <c r="G333" s="8" t="s">
        <v>1190</v>
      </c>
      <c r="H333" s="8" t="s">
        <v>1191</v>
      </c>
      <c r="I333" s="8" t="s">
        <v>1192</v>
      </c>
      <c r="J333" s="8" t="s">
        <v>1193</v>
      </c>
    </row>
    <row r="334">
      <c r="A334" s="3">
        <v>10333.0</v>
      </c>
      <c r="B334" s="8" t="s">
        <v>8</v>
      </c>
      <c r="C334" s="8" t="s">
        <v>9</v>
      </c>
      <c r="D334" s="26" t="s">
        <v>52</v>
      </c>
      <c r="E334" s="4" t="b">
        <f t="shared" si="1"/>
        <v>1</v>
      </c>
      <c r="F334" s="3">
        <f>IFERROR(__xludf.DUMMYFUNCTION("IF(COUNTIF($D$2:$D1000, D334)&gt;1, MATCH(D334, UNIQUE(FILTER($D$2:$D1000, COUNTIF($D$2:$D1000, $D$2:$D1000)&gt;1)), 0), """")"),9.0)</f>
        <v>9</v>
      </c>
      <c r="G334" s="8" t="s">
        <v>53</v>
      </c>
      <c r="H334" s="8" t="s">
        <v>54</v>
      </c>
      <c r="I334" s="8" t="s">
        <v>1194</v>
      </c>
      <c r="J334" s="8" t="s">
        <v>1195</v>
      </c>
    </row>
    <row r="335">
      <c r="A335" s="3">
        <v>10334.0</v>
      </c>
      <c r="B335" s="8" t="s">
        <v>8</v>
      </c>
      <c r="C335" s="8" t="s">
        <v>9</v>
      </c>
      <c r="D335" s="26" t="s">
        <v>235</v>
      </c>
      <c r="E335" s="4" t="b">
        <f t="shared" si="1"/>
        <v>1</v>
      </c>
      <c r="F335" s="3">
        <f>IFERROR(__xludf.DUMMYFUNCTION("IF(COUNTIF($D$2:$D1000, D335)&gt;1, MATCH(D335, UNIQUE(FILTER($D$2:$D1000, COUNTIF($D$2:$D1000, $D$2:$D1000)&gt;1)), 0), """")"),22.0)</f>
        <v>22</v>
      </c>
      <c r="G335" s="8" t="s">
        <v>236</v>
      </c>
      <c r="H335" s="8" t="s">
        <v>237</v>
      </c>
      <c r="I335" s="8" t="s">
        <v>1196</v>
      </c>
      <c r="J335" s="8" t="s">
        <v>1197</v>
      </c>
    </row>
    <row r="336">
      <c r="A336" s="3">
        <v>10335.0</v>
      </c>
      <c r="B336" s="8" t="s">
        <v>8</v>
      </c>
      <c r="C336" s="8" t="s">
        <v>9</v>
      </c>
      <c r="D336" s="26" t="s">
        <v>452</v>
      </c>
      <c r="E336" s="4" t="b">
        <f t="shared" si="1"/>
        <v>1</v>
      </c>
      <c r="F336" s="3">
        <f>IFERROR(__xludf.DUMMYFUNCTION("IF(COUNTIF($D$2:$D1000, D336)&gt;1, MATCH(D336, UNIQUE(FILTER($D$2:$D1000, COUNTIF($D$2:$D1000, $D$2:$D1000)&gt;1)), 0), """")"),46.0)</f>
        <v>46</v>
      </c>
      <c r="G336" s="8" t="s">
        <v>453</v>
      </c>
      <c r="H336" s="8" t="s">
        <v>454</v>
      </c>
      <c r="I336" s="8" t="s">
        <v>1198</v>
      </c>
      <c r="J336" s="8" t="s">
        <v>1199</v>
      </c>
    </row>
    <row r="337">
      <c r="A337" s="3">
        <v>10336.0</v>
      </c>
      <c r="B337" s="8" t="s">
        <v>8</v>
      </c>
      <c r="C337" s="8" t="s">
        <v>9</v>
      </c>
      <c r="D337" s="26" t="s">
        <v>523</v>
      </c>
      <c r="E337" s="4" t="b">
        <f t="shared" si="1"/>
        <v>1</v>
      </c>
      <c r="F337" s="3">
        <f>IFERROR(__xludf.DUMMYFUNCTION("IF(COUNTIF($D$2:$D1000, D337)&gt;1, MATCH(D337, UNIQUE(FILTER($D$2:$D1000, COUNTIF($D$2:$D1000, $D$2:$D1000)&gt;1)), 0), """")"),52.0)</f>
        <v>52</v>
      </c>
      <c r="G337" s="8" t="s">
        <v>524</v>
      </c>
      <c r="H337" s="8" t="s">
        <v>525</v>
      </c>
      <c r="I337" s="8" t="s">
        <v>1200</v>
      </c>
      <c r="J337" s="8" t="s">
        <v>1201</v>
      </c>
    </row>
    <row r="338">
      <c r="A338" s="3">
        <v>10337.0</v>
      </c>
      <c r="B338" s="8" t="s">
        <v>295</v>
      </c>
      <c r="C338" s="8" t="s">
        <v>296</v>
      </c>
      <c r="D338" s="26" t="s">
        <v>327</v>
      </c>
      <c r="E338" s="4" t="b">
        <f t="shared" si="1"/>
        <v>1</v>
      </c>
      <c r="F338" s="3">
        <f>IFERROR(__xludf.DUMMYFUNCTION("IF(COUNTIF($D$2:$D1000, D338)&gt;1, MATCH(D338, UNIQUE(FILTER($D$2:$D1000, COUNTIF($D$2:$D1000, $D$2:$D1000)&gt;1)), 0), """")"),30.0)</f>
        <v>30</v>
      </c>
      <c r="G338" s="8" t="s">
        <v>328</v>
      </c>
      <c r="H338" s="8" t="s">
        <v>327</v>
      </c>
      <c r="I338" s="8" t="s">
        <v>1202</v>
      </c>
      <c r="J338" s="8" t="s">
        <v>1203</v>
      </c>
    </row>
    <row r="339">
      <c r="A339" s="3">
        <v>10338.0</v>
      </c>
      <c r="B339" s="8" t="s">
        <v>50</v>
      </c>
      <c r="C339" s="8" t="s">
        <v>51</v>
      </c>
      <c r="D339" s="26" t="s">
        <v>494</v>
      </c>
      <c r="E339" s="4" t="b">
        <f t="shared" si="1"/>
        <v>1</v>
      </c>
      <c r="F339" s="3">
        <f>IFERROR(__xludf.DUMMYFUNCTION("IF(COUNTIF($D$2:$D1000, D339)&gt;1, MATCH(D339, UNIQUE(FILTER($D$2:$D1000, COUNTIF($D$2:$D1000, $D$2:$D1000)&gt;1)), 0), """")"),49.0)</f>
        <v>49</v>
      </c>
      <c r="G339" s="8" t="s">
        <v>495</v>
      </c>
      <c r="H339" s="8" t="s">
        <v>496</v>
      </c>
      <c r="I339" s="8" t="s">
        <v>1204</v>
      </c>
      <c r="J339" s="8" t="s">
        <v>1205</v>
      </c>
    </row>
    <row r="340">
      <c r="A340" s="3">
        <v>10339.0</v>
      </c>
      <c r="B340" s="8" t="s">
        <v>50</v>
      </c>
      <c r="C340" s="8" t="s">
        <v>51</v>
      </c>
      <c r="D340" s="26" t="s">
        <v>533</v>
      </c>
      <c r="E340" s="4" t="b">
        <f t="shared" si="1"/>
        <v>1</v>
      </c>
      <c r="F340" s="3">
        <f>IFERROR(__xludf.DUMMYFUNCTION("IF(COUNTIF($D$2:$D1000, D340)&gt;1, MATCH(D340, UNIQUE(FILTER($D$2:$D1000, COUNTIF($D$2:$D1000, $D$2:$D1000)&gt;1)), 0), """")"),53.0)</f>
        <v>53</v>
      </c>
      <c r="G340" s="8" t="s">
        <v>534</v>
      </c>
      <c r="H340" s="8" t="s">
        <v>533</v>
      </c>
      <c r="I340" s="8" t="s">
        <v>1206</v>
      </c>
      <c r="J340" s="8" t="s">
        <v>1207</v>
      </c>
    </row>
    <row r="341">
      <c r="A341" s="3">
        <v>10340.0</v>
      </c>
      <c r="B341" s="8" t="s">
        <v>50</v>
      </c>
      <c r="C341" s="8" t="s">
        <v>51</v>
      </c>
      <c r="D341" s="26" t="s">
        <v>537</v>
      </c>
      <c r="E341" s="4" t="b">
        <f t="shared" si="1"/>
        <v>1</v>
      </c>
      <c r="F341" s="3">
        <f>IFERROR(__xludf.DUMMYFUNCTION("IF(COUNTIF($D$2:$D1000, D341)&gt;1, MATCH(D341, UNIQUE(FILTER($D$2:$D1000, COUNTIF($D$2:$D1000, $D$2:$D1000)&gt;1)), 0), """")"),54.0)</f>
        <v>54</v>
      </c>
      <c r="G341" s="8" t="s">
        <v>538</v>
      </c>
      <c r="H341" s="8" t="s">
        <v>539</v>
      </c>
      <c r="I341" s="8" t="s">
        <v>1208</v>
      </c>
      <c r="J341" s="8" t="s">
        <v>1209</v>
      </c>
    </row>
    <row r="342">
      <c r="A342" s="3">
        <v>10341.0</v>
      </c>
      <c r="B342" s="8" t="s">
        <v>50</v>
      </c>
      <c r="C342" s="8" t="s">
        <v>51</v>
      </c>
      <c r="D342" s="26" t="s">
        <v>913</v>
      </c>
      <c r="E342" s="4" t="b">
        <f t="shared" si="1"/>
        <v>1</v>
      </c>
      <c r="F342" s="3">
        <f>IFERROR(__xludf.DUMMYFUNCTION("IF(COUNTIF($D$2:$D1000, D342)&gt;1, MATCH(D342, UNIQUE(FILTER($D$2:$D1000, COUNTIF($D$2:$D1000, $D$2:$D1000)&gt;1)), 0), """")"),85.0)</f>
        <v>85</v>
      </c>
      <c r="G342" s="8" t="s">
        <v>914</v>
      </c>
      <c r="H342" s="8" t="s">
        <v>913</v>
      </c>
      <c r="I342" s="8" t="s">
        <v>1210</v>
      </c>
      <c r="J342" s="8" t="s">
        <v>1211</v>
      </c>
    </row>
    <row r="343">
      <c r="A343" s="3">
        <v>10342.0</v>
      </c>
      <c r="B343" s="8" t="s">
        <v>50</v>
      </c>
      <c r="C343" s="8" t="s">
        <v>51</v>
      </c>
      <c r="D343" s="26" t="s">
        <v>371</v>
      </c>
      <c r="E343" s="4" t="b">
        <f t="shared" si="1"/>
        <v>1</v>
      </c>
      <c r="F343" s="3">
        <f>IFERROR(__xludf.DUMMYFUNCTION("IF(COUNTIF($D$2:$D1000, D343)&gt;1, MATCH(D343, UNIQUE(FILTER($D$2:$D1000, COUNTIF($D$2:$D1000, $D$2:$D1000)&gt;1)), 0), """")"),37.0)</f>
        <v>37</v>
      </c>
      <c r="G343" s="8" t="s">
        <v>372</v>
      </c>
      <c r="H343" s="8" t="s">
        <v>373</v>
      </c>
      <c r="I343" s="8" t="s">
        <v>1212</v>
      </c>
      <c r="J343" s="8" t="s">
        <v>1213</v>
      </c>
    </row>
    <row r="344">
      <c r="A344" s="3">
        <v>10343.0</v>
      </c>
      <c r="B344" s="8" t="s">
        <v>50</v>
      </c>
      <c r="C344" s="8" t="s">
        <v>51</v>
      </c>
      <c r="D344" s="26" t="s">
        <v>616</v>
      </c>
      <c r="E344" s="4" t="b">
        <f t="shared" si="1"/>
        <v>1</v>
      </c>
      <c r="F344" s="3">
        <f>IFERROR(__xludf.DUMMYFUNCTION("IF(COUNTIF($D$2:$D1000, D344)&gt;1, MATCH(D344, UNIQUE(FILTER($D$2:$D1000, COUNTIF($D$2:$D1000, $D$2:$D1000)&gt;1)), 0), """")"),64.0)</f>
        <v>64</v>
      </c>
      <c r="G344" s="8" t="s">
        <v>1214</v>
      </c>
      <c r="H344" s="8" t="s">
        <v>1215</v>
      </c>
      <c r="I344" s="8" t="s">
        <v>1216</v>
      </c>
      <c r="J344" s="8" t="s">
        <v>1217</v>
      </c>
    </row>
    <row r="345">
      <c r="A345" s="3">
        <v>10344.0</v>
      </c>
      <c r="B345" s="8" t="s">
        <v>50</v>
      </c>
      <c r="C345" s="8" t="s">
        <v>51</v>
      </c>
      <c r="D345" s="26" t="s">
        <v>62</v>
      </c>
      <c r="E345" s="4" t="b">
        <f t="shared" si="1"/>
        <v>1</v>
      </c>
      <c r="F345" s="3">
        <f>IFERROR(__xludf.DUMMYFUNCTION("IF(COUNTIF($D$2:$D1000, D345)&gt;1, MATCH(D345, UNIQUE(FILTER($D$2:$D1000, COUNTIF($D$2:$D1000, $D$2:$D1000)&gt;1)), 0), """")"),10.0)</f>
        <v>10</v>
      </c>
      <c r="G345" s="8" t="s">
        <v>63</v>
      </c>
      <c r="H345" s="8" t="s">
        <v>64</v>
      </c>
      <c r="I345" s="8" t="s">
        <v>1218</v>
      </c>
      <c r="J345" s="8" t="s">
        <v>1219</v>
      </c>
    </row>
    <row r="346">
      <c r="A346" s="3">
        <v>10345.0</v>
      </c>
      <c r="B346" s="8" t="s">
        <v>50</v>
      </c>
      <c r="C346" s="8" t="s">
        <v>51</v>
      </c>
      <c r="D346" s="26" t="s">
        <v>376</v>
      </c>
      <c r="E346" s="4" t="b">
        <f t="shared" si="1"/>
        <v>1</v>
      </c>
      <c r="F346" s="3">
        <f>IFERROR(__xludf.DUMMYFUNCTION("IF(COUNTIF($D$2:$D1000, D346)&gt;1, MATCH(D346, UNIQUE(FILTER($D$2:$D1000, COUNTIF($D$2:$D1000, $D$2:$D1000)&gt;1)), 0), """")"),38.0)</f>
        <v>38</v>
      </c>
      <c r="G346" s="8" t="s">
        <v>377</v>
      </c>
      <c r="H346" s="8" t="s">
        <v>378</v>
      </c>
      <c r="I346" s="8" t="s">
        <v>1220</v>
      </c>
      <c r="J346" s="8" t="s">
        <v>1221</v>
      </c>
    </row>
    <row r="347">
      <c r="A347" s="3">
        <v>10346.0</v>
      </c>
      <c r="B347" s="8" t="s">
        <v>50</v>
      </c>
      <c r="C347" s="8" t="s">
        <v>51</v>
      </c>
      <c r="D347" s="26" t="s">
        <v>235</v>
      </c>
      <c r="E347" s="4" t="b">
        <f t="shared" si="1"/>
        <v>1</v>
      </c>
      <c r="F347" s="3">
        <f>IFERROR(__xludf.DUMMYFUNCTION("IF(COUNTIF($D$2:$D1000, D347)&gt;1, MATCH(D347, UNIQUE(FILTER($D$2:$D1000, COUNTIF($D$2:$D1000, $D$2:$D1000)&gt;1)), 0), """")"),22.0)</f>
        <v>22</v>
      </c>
      <c r="G347" s="8" t="s">
        <v>236</v>
      </c>
      <c r="H347" s="8" t="s">
        <v>237</v>
      </c>
      <c r="I347" s="8" t="s">
        <v>1222</v>
      </c>
      <c r="J347" s="8" t="s">
        <v>1223</v>
      </c>
    </row>
    <row r="348">
      <c r="A348" s="3">
        <v>10347.0</v>
      </c>
      <c r="B348" s="8" t="s">
        <v>50</v>
      </c>
      <c r="C348" s="8" t="s">
        <v>51</v>
      </c>
      <c r="D348" s="26" t="s">
        <v>347</v>
      </c>
      <c r="E348" s="4" t="b">
        <f t="shared" si="1"/>
        <v>1</v>
      </c>
      <c r="F348" s="3">
        <f>IFERROR(__xludf.DUMMYFUNCTION("IF(COUNTIF($D$2:$D1000, D348)&gt;1, MATCH(D348, UNIQUE(FILTER($D$2:$D1000, COUNTIF($D$2:$D1000, $D$2:$D1000)&gt;1)), 0), """")"),34.0)</f>
        <v>34</v>
      </c>
      <c r="G348" s="11" t="s">
        <v>348</v>
      </c>
      <c r="H348" s="12" t="s">
        <v>349</v>
      </c>
      <c r="I348" s="8" t="s">
        <v>1224</v>
      </c>
      <c r="J348" s="8" t="s">
        <v>1225</v>
      </c>
    </row>
    <row r="349">
      <c r="A349" s="3">
        <v>10348.0</v>
      </c>
      <c r="B349" s="8" t="s">
        <v>50</v>
      </c>
      <c r="C349" s="8" t="s">
        <v>51</v>
      </c>
      <c r="D349" s="26" t="s">
        <v>1226</v>
      </c>
      <c r="E349" s="4" t="b">
        <f t="shared" si="1"/>
        <v>1</v>
      </c>
      <c r="F349" s="3">
        <f>IFERROR(__xludf.DUMMYFUNCTION("IF(COUNTIF($D$2:$D1000, D349)&gt;1, MATCH(D349, UNIQUE(FILTER($D$2:$D1000, COUNTIF($D$2:$D1000, $D$2:$D1000)&gt;1)), 0), """")"),91.0)</f>
        <v>91</v>
      </c>
      <c r="G349" s="8" t="s">
        <v>1227</v>
      </c>
      <c r="H349" s="8" t="s">
        <v>1228</v>
      </c>
      <c r="I349" s="8" t="s">
        <v>1229</v>
      </c>
      <c r="J349" s="8" t="s">
        <v>1230</v>
      </c>
    </row>
    <row r="350">
      <c r="A350" s="3">
        <v>10349.0</v>
      </c>
      <c r="B350" s="8" t="s">
        <v>312</v>
      </c>
      <c r="C350" s="8" t="s">
        <v>313</v>
      </c>
      <c r="D350" s="26" t="s">
        <v>376</v>
      </c>
      <c r="E350" s="4" t="b">
        <f t="shared" si="1"/>
        <v>1</v>
      </c>
      <c r="F350" s="3">
        <f>IFERROR(__xludf.DUMMYFUNCTION("IF(COUNTIF($D$2:$D1000, D350)&gt;1, MATCH(D350, UNIQUE(FILTER($D$2:$D1000, COUNTIF($D$2:$D1000, $D$2:$D1000)&gt;1)), 0), """")"),38.0)</f>
        <v>38</v>
      </c>
      <c r="G350" s="8" t="s">
        <v>377</v>
      </c>
      <c r="H350" s="8" t="s">
        <v>378</v>
      </c>
      <c r="I350" s="8" t="s">
        <v>1231</v>
      </c>
      <c r="J350" s="8" t="s">
        <v>1232</v>
      </c>
    </row>
    <row r="351">
      <c r="A351" s="3">
        <v>10350.0</v>
      </c>
      <c r="B351" s="8" t="s">
        <v>50</v>
      </c>
      <c r="C351" s="8" t="s">
        <v>51</v>
      </c>
      <c r="D351" s="26" t="s">
        <v>569</v>
      </c>
      <c r="E351" s="4" t="b">
        <f t="shared" si="1"/>
        <v>1</v>
      </c>
      <c r="F351" s="3">
        <f>IFERROR(__xludf.DUMMYFUNCTION("IF(COUNTIF($D$2:$D1000, D351)&gt;1, MATCH(D351, UNIQUE(FILTER($D$2:$D1000, COUNTIF($D$2:$D1000, $D$2:$D1000)&gt;1)), 0), """")"),60.0)</f>
        <v>60</v>
      </c>
      <c r="G351" s="8" t="s">
        <v>570</v>
      </c>
      <c r="H351" s="8" t="s">
        <v>571</v>
      </c>
      <c r="I351" s="8" t="s">
        <v>1233</v>
      </c>
      <c r="J351" s="8" t="s">
        <v>1234</v>
      </c>
    </row>
    <row r="352">
      <c r="A352" s="3">
        <v>10351.0</v>
      </c>
      <c r="B352" s="8" t="s">
        <v>50</v>
      </c>
      <c r="C352" s="8" t="s">
        <v>51</v>
      </c>
      <c r="D352" s="26" t="s">
        <v>564</v>
      </c>
      <c r="E352" s="4" t="b">
        <f t="shared" si="1"/>
        <v>1</v>
      </c>
      <c r="F352" s="3">
        <f>IFERROR(__xludf.DUMMYFUNCTION("IF(COUNTIF($D$2:$D1000, D352)&gt;1, MATCH(D352, UNIQUE(FILTER($D$2:$D1000, COUNTIF($D$2:$D1000, $D$2:$D1000)&gt;1)), 0), """")"),59.0)</f>
        <v>59</v>
      </c>
      <c r="G352" s="8" t="s">
        <v>565</v>
      </c>
      <c r="H352" s="8" t="s">
        <v>566</v>
      </c>
      <c r="I352" s="8" t="s">
        <v>1235</v>
      </c>
      <c r="J352" s="8" t="s">
        <v>1236</v>
      </c>
    </row>
    <row r="353">
      <c r="A353" s="3">
        <v>10352.0</v>
      </c>
      <c r="B353" s="8" t="s">
        <v>50</v>
      </c>
      <c r="C353" s="8" t="s">
        <v>51</v>
      </c>
      <c r="D353" s="26" t="s">
        <v>547</v>
      </c>
      <c r="E353" s="4" t="b">
        <f t="shared" si="1"/>
        <v>1</v>
      </c>
      <c r="F353" s="3">
        <f>IFERROR(__xludf.DUMMYFUNCTION("IF(COUNTIF($D$2:$D1000, D353)&gt;1, MATCH(D353, UNIQUE(FILTER($D$2:$D1000, COUNTIF($D$2:$D1000, $D$2:$D1000)&gt;1)), 0), """")"),56.0)</f>
        <v>56</v>
      </c>
      <c r="G353" s="8" t="s">
        <v>548</v>
      </c>
      <c r="H353" s="8" t="s">
        <v>549</v>
      </c>
      <c r="I353" s="8" t="s">
        <v>1237</v>
      </c>
      <c r="J353" s="8" t="s">
        <v>1238</v>
      </c>
    </row>
    <row r="354">
      <c r="A354" s="3">
        <v>10353.0</v>
      </c>
      <c r="B354" s="8" t="s">
        <v>50</v>
      </c>
      <c r="C354" s="8" t="s">
        <v>51</v>
      </c>
      <c r="D354" s="26" t="s">
        <v>1239</v>
      </c>
      <c r="E354" s="4" t="b">
        <f t="shared" si="1"/>
        <v>0</v>
      </c>
      <c r="F354" s="3" t="str">
        <f>IFERROR(__xludf.DUMMYFUNCTION("IF(COUNTIF($D$2:$D1000, D354)&gt;1, MATCH(D354, UNIQUE(FILTER($D$2:$D1000, COUNTIF($D$2:$D1000, $D$2:$D1000)&gt;1)), 0), """")"),"")</f>
        <v/>
      </c>
      <c r="G354" s="8" t="s">
        <v>1240</v>
      </c>
      <c r="H354" s="8" t="s">
        <v>1241</v>
      </c>
      <c r="I354" s="8" t="s">
        <v>1242</v>
      </c>
      <c r="J354" s="8" t="s">
        <v>1243</v>
      </c>
    </row>
    <row r="355">
      <c r="A355" s="3">
        <v>10354.0</v>
      </c>
      <c r="B355" s="8" t="s">
        <v>302</v>
      </c>
      <c r="C355" s="8" t="s">
        <v>303</v>
      </c>
      <c r="D355" s="26" t="s">
        <v>533</v>
      </c>
      <c r="E355" s="4" t="b">
        <f t="shared" si="1"/>
        <v>1</v>
      </c>
      <c r="F355" s="3">
        <f>IFERROR(__xludf.DUMMYFUNCTION("IF(COUNTIF($D$2:$D1000, D355)&gt;1, MATCH(D355, UNIQUE(FILTER($D$2:$D1000, COUNTIF($D$2:$D1000, $D$2:$D1000)&gt;1)), 0), """")"),53.0)</f>
        <v>53</v>
      </c>
      <c r="G355" s="8" t="s">
        <v>534</v>
      </c>
      <c r="H355" s="8" t="s">
        <v>533</v>
      </c>
      <c r="I355" s="8" t="s">
        <v>1244</v>
      </c>
      <c r="J355" s="8" t="s">
        <v>1245</v>
      </c>
    </row>
    <row r="356">
      <c r="A356" s="3">
        <v>10355.0</v>
      </c>
      <c r="B356" s="8" t="s">
        <v>302</v>
      </c>
      <c r="C356" s="8" t="s">
        <v>303</v>
      </c>
      <c r="D356" s="26" t="s">
        <v>559</v>
      </c>
      <c r="E356" s="4" t="b">
        <f t="shared" si="1"/>
        <v>1</v>
      </c>
      <c r="F356" s="3">
        <f>IFERROR(__xludf.DUMMYFUNCTION("IF(COUNTIF($D$2:$D1000, D356)&gt;1, MATCH(D356, UNIQUE(FILTER($D$2:$D1000, COUNTIF($D$2:$D1000, $D$2:$D1000)&gt;1)), 0), """")"),58.0)</f>
        <v>58</v>
      </c>
      <c r="G356" s="8" t="s">
        <v>560</v>
      </c>
      <c r="H356" s="8" t="s">
        <v>561</v>
      </c>
      <c r="I356" s="8" t="s">
        <v>1246</v>
      </c>
      <c r="J356" s="8" t="s">
        <v>1247</v>
      </c>
    </row>
    <row r="357">
      <c r="A357" s="3">
        <v>10356.0</v>
      </c>
      <c r="B357" s="8" t="s">
        <v>302</v>
      </c>
      <c r="C357" s="8" t="s">
        <v>303</v>
      </c>
      <c r="D357" s="26" t="s">
        <v>882</v>
      </c>
      <c r="E357" s="4" t="b">
        <f t="shared" si="1"/>
        <v>1</v>
      </c>
      <c r="F357" s="3">
        <f>IFERROR(__xludf.DUMMYFUNCTION("IF(COUNTIF($D$2:$D1000, D357)&gt;1, MATCH(D357, UNIQUE(FILTER($D$2:$D1000, COUNTIF($D$2:$D1000, $D$2:$D1000)&gt;1)), 0), """")"),83.0)</f>
        <v>83</v>
      </c>
      <c r="G357" s="8" t="s">
        <v>883</v>
      </c>
      <c r="H357" s="8" t="s">
        <v>884</v>
      </c>
      <c r="I357" s="8" t="s">
        <v>1248</v>
      </c>
      <c r="J357" s="8" t="s">
        <v>1249</v>
      </c>
    </row>
    <row r="358">
      <c r="A358" s="3">
        <v>10357.0</v>
      </c>
      <c r="B358" s="8" t="s">
        <v>302</v>
      </c>
      <c r="C358" s="8" t="s">
        <v>303</v>
      </c>
      <c r="D358" s="26" t="s">
        <v>290</v>
      </c>
      <c r="E358" s="4" t="b">
        <f t="shared" si="1"/>
        <v>1</v>
      </c>
      <c r="F358" s="3">
        <f>IFERROR(__xludf.DUMMYFUNCTION("IF(COUNTIF($D$2:$D1000, D358)&gt;1, MATCH(D358, UNIQUE(FILTER($D$2:$D1000, COUNTIF($D$2:$D1000, $D$2:$D1000)&gt;1)), 0), """")"),26.0)</f>
        <v>26</v>
      </c>
      <c r="G358" s="8" t="s">
        <v>291</v>
      </c>
      <c r="H358" s="8" t="s">
        <v>292</v>
      </c>
      <c r="I358" s="8" t="s">
        <v>1250</v>
      </c>
      <c r="J358" s="8" t="s">
        <v>1251</v>
      </c>
    </row>
    <row r="359">
      <c r="A359" s="3">
        <v>10358.0</v>
      </c>
      <c r="B359" s="8" t="s">
        <v>302</v>
      </c>
      <c r="C359" s="8" t="s">
        <v>303</v>
      </c>
      <c r="D359" s="26" t="s">
        <v>410</v>
      </c>
      <c r="E359" s="4" t="b">
        <f t="shared" si="1"/>
        <v>1</v>
      </c>
      <c r="F359" s="3">
        <f>IFERROR(__xludf.DUMMYFUNCTION("IF(COUNTIF($D$2:$D1000, D359)&gt;1, MATCH(D359, UNIQUE(FILTER($D$2:$D1000, COUNTIF($D$2:$D1000, $D$2:$D1000)&gt;1)), 0), """")"),43.0)</f>
        <v>43</v>
      </c>
      <c r="G359" s="8" t="s">
        <v>411</v>
      </c>
      <c r="H359" s="8" t="s">
        <v>410</v>
      </c>
      <c r="I359" s="8" t="s">
        <v>1252</v>
      </c>
      <c r="J359" s="8" t="s">
        <v>1253</v>
      </c>
    </row>
    <row r="360">
      <c r="A360" s="3">
        <v>10359.0</v>
      </c>
      <c r="B360" s="8" t="s">
        <v>302</v>
      </c>
      <c r="C360" s="8" t="s">
        <v>303</v>
      </c>
      <c r="D360" s="26" t="s">
        <v>643</v>
      </c>
      <c r="E360" s="4" t="b">
        <f t="shared" si="1"/>
        <v>1</v>
      </c>
      <c r="F360" s="3">
        <f>IFERROR(__xludf.DUMMYFUNCTION("IF(COUNTIF($D$2:$D1000, D360)&gt;1, MATCH(D360, UNIQUE(FILTER($D$2:$D1000, COUNTIF($D$2:$D1000, $D$2:$D1000)&gt;1)), 0), """")"),66.0)</f>
        <v>66</v>
      </c>
      <c r="G360" s="8" t="s">
        <v>644</v>
      </c>
      <c r="H360" s="8" t="s">
        <v>645</v>
      </c>
      <c r="I360" s="8" t="s">
        <v>1254</v>
      </c>
      <c r="J360" s="8" t="s">
        <v>1255</v>
      </c>
    </row>
    <row r="361">
      <c r="A361" s="3">
        <v>10360.0</v>
      </c>
      <c r="B361" s="8" t="s">
        <v>302</v>
      </c>
      <c r="C361" s="8" t="s">
        <v>303</v>
      </c>
      <c r="D361" s="26" t="s">
        <v>628</v>
      </c>
      <c r="E361" s="4" t="b">
        <f t="shared" si="1"/>
        <v>1</v>
      </c>
      <c r="F361" s="3">
        <f>IFERROR(__xludf.DUMMYFUNCTION("IF(COUNTIF($D$2:$D1000, D361)&gt;1, MATCH(D361, UNIQUE(FILTER($D$2:$D1000, COUNTIF($D$2:$D1000, $D$2:$D1000)&gt;1)), 0), """")"),65.0)</f>
        <v>65</v>
      </c>
      <c r="G361" s="8" t="s">
        <v>629</v>
      </c>
      <c r="H361" s="8" t="s">
        <v>630</v>
      </c>
      <c r="I361" s="8" t="s">
        <v>1256</v>
      </c>
      <c r="J361" s="8" t="s">
        <v>1257</v>
      </c>
    </row>
    <row r="362">
      <c r="A362" s="3">
        <v>10361.0</v>
      </c>
      <c r="B362" s="8" t="s">
        <v>302</v>
      </c>
      <c r="C362" s="8" t="s">
        <v>303</v>
      </c>
      <c r="D362" s="26" t="s">
        <v>484</v>
      </c>
      <c r="E362" s="4" t="b">
        <f t="shared" si="1"/>
        <v>1</v>
      </c>
      <c r="F362" s="3">
        <f>IFERROR(__xludf.DUMMYFUNCTION("IF(COUNTIF($D$2:$D1000, D362)&gt;1, MATCH(D362, UNIQUE(FILTER($D$2:$D1000, COUNTIF($D$2:$D1000, $D$2:$D1000)&gt;1)), 0), """")"),48.0)</f>
        <v>48</v>
      </c>
      <c r="G362" s="8" t="s">
        <v>485</v>
      </c>
      <c r="H362" s="8" t="s">
        <v>484</v>
      </c>
      <c r="I362" s="8" t="s">
        <v>1258</v>
      </c>
      <c r="J362" s="8" t="s">
        <v>1259</v>
      </c>
    </row>
    <row r="363">
      <c r="A363" s="3">
        <v>10362.0</v>
      </c>
      <c r="B363" s="8" t="s">
        <v>302</v>
      </c>
      <c r="C363" s="8" t="s">
        <v>303</v>
      </c>
      <c r="D363" s="26" t="s">
        <v>547</v>
      </c>
      <c r="E363" s="4" t="b">
        <f t="shared" si="1"/>
        <v>1</v>
      </c>
      <c r="F363" s="3">
        <f>IFERROR(__xludf.DUMMYFUNCTION("IF(COUNTIF($D$2:$D1000, D363)&gt;1, MATCH(D363, UNIQUE(FILTER($D$2:$D1000, COUNTIF($D$2:$D1000, $D$2:$D1000)&gt;1)), 0), """")"),56.0)</f>
        <v>56</v>
      </c>
      <c r="G363" s="8" t="s">
        <v>548</v>
      </c>
      <c r="H363" s="8" t="s">
        <v>549</v>
      </c>
      <c r="I363" s="8" t="s">
        <v>1260</v>
      </c>
      <c r="J363" s="8" t="s">
        <v>1261</v>
      </c>
    </row>
    <row r="364">
      <c r="A364" s="3">
        <v>10363.0</v>
      </c>
      <c r="B364" s="8" t="s">
        <v>302</v>
      </c>
      <c r="C364" s="8" t="s">
        <v>303</v>
      </c>
      <c r="D364" s="26" t="s">
        <v>347</v>
      </c>
      <c r="E364" s="4" t="b">
        <f t="shared" si="1"/>
        <v>1</v>
      </c>
      <c r="F364" s="3">
        <f>IFERROR(__xludf.DUMMYFUNCTION("IF(COUNTIF($D$2:$D1000, D364)&gt;1, MATCH(D364, UNIQUE(FILTER($D$2:$D1000, COUNTIF($D$2:$D1000, $D$2:$D1000)&gt;1)), 0), """")"),34.0)</f>
        <v>34</v>
      </c>
      <c r="G364" s="11" t="s">
        <v>348</v>
      </c>
      <c r="H364" s="12" t="s">
        <v>349</v>
      </c>
      <c r="I364" s="8" t="s">
        <v>1262</v>
      </c>
      <c r="J364" s="8" t="s">
        <v>1263</v>
      </c>
    </row>
    <row r="365">
      <c r="A365" s="3">
        <v>10364.0</v>
      </c>
      <c r="B365" s="8" t="s">
        <v>302</v>
      </c>
      <c r="C365" s="8" t="s">
        <v>303</v>
      </c>
      <c r="D365" s="26" t="s">
        <v>513</v>
      </c>
      <c r="E365" s="4" t="b">
        <f t="shared" si="1"/>
        <v>1</v>
      </c>
      <c r="F365" s="3">
        <f>IFERROR(__xludf.DUMMYFUNCTION("IF(COUNTIF($D$2:$D1000, D365)&gt;1, MATCH(D365, UNIQUE(FILTER($D$2:$D1000, COUNTIF($D$2:$D1000, $D$2:$D1000)&gt;1)), 0), """")"),51.0)</f>
        <v>51</v>
      </c>
      <c r="G365" s="8" t="s">
        <v>514</v>
      </c>
      <c r="H365" s="8" t="s">
        <v>515</v>
      </c>
      <c r="I365" s="8" t="s">
        <v>1264</v>
      </c>
      <c r="J365" s="8" t="s">
        <v>1265</v>
      </c>
    </row>
    <row r="366">
      <c r="A366" s="3">
        <v>10365.0</v>
      </c>
      <c r="B366" s="8" t="s">
        <v>302</v>
      </c>
      <c r="C366" s="8" t="s">
        <v>303</v>
      </c>
      <c r="D366" s="26" t="s">
        <v>62</v>
      </c>
      <c r="E366" s="4" t="b">
        <f t="shared" si="1"/>
        <v>1</v>
      </c>
      <c r="F366" s="3">
        <f>IFERROR(__xludf.DUMMYFUNCTION("IF(COUNTIF($D$2:$D1000, D366)&gt;1, MATCH(D366, UNIQUE(FILTER($D$2:$D1000, COUNTIF($D$2:$D1000, $D$2:$D1000)&gt;1)), 0), """")"),10.0)</f>
        <v>10</v>
      </c>
      <c r="G366" s="8" t="s">
        <v>63</v>
      </c>
      <c r="H366" s="8" t="s">
        <v>64</v>
      </c>
      <c r="I366" s="8" t="s">
        <v>1266</v>
      </c>
      <c r="J366" s="8" t="s">
        <v>1267</v>
      </c>
    </row>
    <row r="367">
      <c r="A367" s="3">
        <v>10366.0</v>
      </c>
      <c r="B367" s="8" t="s">
        <v>302</v>
      </c>
      <c r="C367" s="8" t="s">
        <v>303</v>
      </c>
      <c r="D367" s="26" t="s">
        <v>304</v>
      </c>
      <c r="E367" s="4" t="b">
        <f t="shared" si="1"/>
        <v>1</v>
      </c>
      <c r="F367" s="3">
        <f>IFERROR(__xludf.DUMMYFUNCTION("IF(COUNTIF($D$2:$D1000, D367)&gt;1, MATCH(D367, UNIQUE(FILTER($D$2:$D1000, COUNTIF($D$2:$D1000, $D$2:$D1000)&gt;1)), 0), """")"),27.0)</f>
        <v>27</v>
      </c>
      <c r="G367" s="8" t="s">
        <v>305</v>
      </c>
      <c r="H367" s="8" t="s">
        <v>304</v>
      </c>
      <c r="I367" s="8" t="s">
        <v>1268</v>
      </c>
      <c r="J367" s="8" t="s">
        <v>1269</v>
      </c>
    </row>
    <row r="368">
      <c r="A368" s="3">
        <v>10367.0</v>
      </c>
      <c r="B368" s="8" t="s">
        <v>302</v>
      </c>
      <c r="C368" s="8" t="s">
        <v>303</v>
      </c>
      <c r="D368" s="26" t="s">
        <v>52</v>
      </c>
      <c r="E368" s="4" t="b">
        <f t="shared" si="1"/>
        <v>1</v>
      </c>
      <c r="F368" s="3">
        <f>IFERROR(__xludf.DUMMYFUNCTION("IF(COUNTIF($D$2:$D1000, D368)&gt;1, MATCH(D368, UNIQUE(FILTER($D$2:$D1000, COUNTIF($D$2:$D1000, $D$2:$D1000)&gt;1)), 0), """")"),9.0)</f>
        <v>9</v>
      </c>
      <c r="G368" s="8" t="s">
        <v>53</v>
      </c>
      <c r="H368" s="8" t="s">
        <v>54</v>
      </c>
      <c r="I368" s="8" t="s">
        <v>1270</v>
      </c>
      <c r="J368" s="8" t="s">
        <v>1271</v>
      </c>
    </row>
    <row r="369">
      <c r="A369" s="3">
        <v>10368.0</v>
      </c>
      <c r="B369" s="8" t="s">
        <v>302</v>
      </c>
      <c r="C369" s="8" t="s">
        <v>303</v>
      </c>
      <c r="D369" s="26" t="s">
        <v>376</v>
      </c>
      <c r="E369" s="4" t="b">
        <f t="shared" si="1"/>
        <v>1</v>
      </c>
      <c r="F369" s="3">
        <f>IFERROR(__xludf.DUMMYFUNCTION("IF(COUNTIF($D$2:$D1000, D369)&gt;1, MATCH(D369, UNIQUE(FILTER($D$2:$D1000, COUNTIF($D$2:$D1000, $D$2:$D1000)&gt;1)), 0), """")"),38.0)</f>
        <v>38</v>
      </c>
      <c r="G369" s="8" t="s">
        <v>377</v>
      </c>
      <c r="H369" s="8" t="s">
        <v>378</v>
      </c>
      <c r="I369" s="8" t="s">
        <v>1272</v>
      </c>
      <c r="J369" s="8" t="s">
        <v>1273</v>
      </c>
    </row>
    <row r="370">
      <c r="A370" s="3">
        <v>10369.0</v>
      </c>
      <c r="B370" s="8" t="s">
        <v>302</v>
      </c>
      <c r="C370" s="8" t="s">
        <v>303</v>
      </c>
      <c r="D370" s="26" t="s">
        <v>235</v>
      </c>
      <c r="E370" s="4" t="b">
        <f t="shared" si="1"/>
        <v>1</v>
      </c>
      <c r="F370" s="3">
        <f>IFERROR(__xludf.DUMMYFUNCTION("IF(COUNTIF($D$2:$D1000, D370)&gt;1, MATCH(D370, UNIQUE(FILTER($D$2:$D1000, COUNTIF($D$2:$D1000, $D$2:$D1000)&gt;1)), 0), """")"),22.0)</f>
        <v>22</v>
      </c>
      <c r="G370" s="8" t="s">
        <v>236</v>
      </c>
      <c r="H370" s="8" t="s">
        <v>237</v>
      </c>
      <c r="I370" s="8" t="s">
        <v>1274</v>
      </c>
      <c r="J370" s="8" t="s">
        <v>1275</v>
      </c>
    </row>
    <row r="371">
      <c r="A371" s="3">
        <v>10370.0</v>
      </c>
      <c r="B371" s="8" t="s">
        <v>308</v>
      </c>
      <c r="C371" s="8" t="s">
        <v>309</v>
      </c>
      <c r="D371" s="26" t="s">
        <v>101</v>
      </c>
      <c r="E371" s="4" t="b">
        <f t="shared" si="1"/>
        <v>1</v>
      </c>
      <c r="F371" s="3">
        <f>IFERROR(__xludf.DUMMYFUNCTION("IF(COUNTIF($D$2:$D1000, D371)&gt;1, MATCH(D371, UNIQUE(FILTER($D$2:$D1000, COUNTIF($D$2:$D1000, $D$2:$D1000)&gt;1)), 0), """")"),15.0)</f>
        <v>15</v>
      </c>
      <c r="G371" s="8" t="s">
        <v>102</v>
      </c>
      <c r="H371" s="8" t="s">
        <v>103</v>
      </c>
      <c r="I371" s="8" t="s">
        <v>1276</v>
      </c>
      <c r="J371" s="8" t="s">
        <v>1277</v>
      </c>
    </row>
    <row r="372">
      <c r="A372" s="3">
        <v>10371.0</v>
      </c>
      <c r="B372" s="8" t="s">
        <v>308</v>
      </c>
      <c r="C372" s="8" t="s">
        <v>309</v>
      </c>
      <c r="D372" s="26" t="s">
        <v>423</v>
      </c>
      <c r="E372" s="4" t="b">
        <f t="shared" si="1"/>
        <v>1</v>
      </c>
      <c r="F372" s="3">
        <f>IFERROR(__xludf.DUMMYFUNCTION("IF(COUNTIF($D$2:$D1000, D372)&gt;1, MATCH(D372, UNIQUE(FILTER($D$2:$D1000, COUNTIF($D$2:$D1000, $D$2:$D1000)&gt;1)), 0), """")"),44.0)</f>
        <v>44</v>
      </c>
      <c r="G372" s="8" t="s">
        <v>424</v>
      </c>
      <c r="H372" s="8" t="s">
        <v>425</v>
      </c>
      <c r="I372" s="8" t="s">
        <v>1278</v>
      </c>
      <c r="J372" s="8" t="s">
        <v>1279</v>
      </c>
    </row>
    <row r="373">
      <c r="A373" s="3">
        <v>10372.0</v>
      </c>
      <c r="B373" s="8" t="s">
        <v>308</v>
      </c>
      <c r="C373" s="8" t="s">
        <v>309</v>
      </c>
      <c r="D373" s="26" t="s">
        <v>213</v>
      </c>
      <c r="E373" s="4" t="b">
        <f t="shared" si="1"/>
        <v>1</v>
      </c>
      <c r="F373" s="3">
        <f>IFERROR(__xludf.DUMMYFUNCTION("IF(COUNTIF($D$2:$D1000, D373)&gt;1, MATCH(D373, UNIQUE(FILTER($D$2:$D1000, COUNTIF($D$2:$D1000, $D$2:$D1000)&gt;1)), 0), """")"),21.0)</f>
        <v>21</v>
      </c>
      <c r="G373" s="8" t="s">
        <v>214</v>
      </c>
      <c r="H373" s="8" t="s">
        <v>215</v>
      </c>
      <c r="I373" s="8" t="s">
        <v>1280</v>
      </c>
      <c r="J373" s="8" t="s">
        <v>1281</v>
      </c>
    </row>
    <row r="374">
      <c r="A374" s="3">
        <v>10373.0</v>
      </c>
      <c r="B374" s="8" t="s">
        <v>308</v>
      </c>
      <c r="C374" s="8" t="s">
        <v>309</v>
      </c>
      <c r="D374" s="26" t="s">
        <v>268</v>
      </c>
      <c r="E374" s="4" t="b">
        <f t="shared" si="1"/>
        <v>1</v>
      </c>
      <c r="F374" s="3">
        <f>IFERROR(__xludf.DUMMYFUNCTION("IF(COUNTIF($D$2:$D1000, D374)&gt;1, MATCH(D374, UNIQUE(FILTER($D$2:$D1000, COUNTIF($D$2:$D1000, $D$2:$D1000)&gt;1)), 0), """")"),24.0)</f>
        <v>24</v>
      </c>
      <c r="G374" s="8" t="s">
        <v>269</v>
      </c>
      <c r="H374" s="8" t="s">
        <v>270</v>
      </c>
      <c r="I374" s="8" t="s">
        <v>1282</v>
      </c>
      <c r="J374" s="8" t="s">
        <v>1283</v>
      </c>
    </row>
    <row r="375">
      <c r="A375" s="3">
        <v>10374.0</v>
      </c>
      <c r="B375" s="8" t="s">
        <v>308</v>
      </c>
      <c r="C375" s="8" t="s">
        <v>309</v>
      </c>
      <c r="D375" s="26" t="s">
        <v>430</v>
      </c>
      <c r="E375" s="4" t="b">
        <f t="shared" si="1"/>
        <v>1</v>
      </c>
      <c r="F375" s="3">
        <f>IFERROR(__xludf.DUMMYFUNCTION("IF(COUNTIF($D$2:$D1000, D375)&gt;1, MATCH(D375, UNIQUE(FILTER($D$2:$D1000, COUNTIF($D$2:$D1000, $D$2:$D1000)&gt;1)), 0), """")"),45.0)</f>
        <v>45</v>
      </c>
      <c r="G375" s="8" t="s">
        <v>431</v>
      </c>
      <c r="H375" s="8" t="s">
        <v>432</v>
      </c>
      <c r="I375" s="8" t="s">
        <v>1284</v>
      </c>
      <c r="J375" s="8" t="s">
        <v>1285</v>
      </c>
    </row>
    <row r="376">
      <c r="A376" s="3">
        <v>10375.0</v>
      </c>
      <c r="B376" s="8" t="s">
        <v>308</v>
      </c>
      <c r="C376" s="8" t="s">
        <v>309</v>
      </c>
      <c r="D376" s="26" t="s">
        <v>403</v>
      </c>
      <c r="E376" s="4" t="b">
        <f t="shared" si="1"/>
        <v>1</v>
      </c>
      <c r="F376" s="3">
        <f>IFERROR(__xludf.DUMMYFUNCTION("IF(COUNTIF($D$2:$D1000, D376)&gt;1, MATCH(D376, UNIQUE(FILTER($D$2:$D1000, COUNTIF($D$2:$D1000, $D$2:$D1000)&gt;1)), 0), """")"),42.0)</f>
        <v>42</v>
      </c>
      <c r="G376" s="8" t="s">
        <v>404</v>
      </c>
      <c r="H376" s="8" t="s">
        <v>405</v>
      </c>
      <c r="I376" s="8" t="s">
        <v>1286</v>
      </c>
      <c r="J376" s="8" t="s">
        <v>1287</v>
      </c>
    </row>
    <row r="377">
      <c r="A377" s="3">
        <v>10376.0</v>
      </c>
      <c r="B377" s="8" t="s">
        <v>308</v>
      </c>
      <c r="C377" s="8" t="s">
        <v>309</v>
      </c>
      <c r="D377" s="26" t="s">
        <v>1023</v>
      </c>
      <c r="E377" s="4" t="b">
        <f t="shared" si="1"/>
        <v>1</v>
      </c>
      <c r="F377" s="3">
        <f>IFERROR(__xludf.DUMMYFUNCTION("IF(COUNTIF($D$2:$D1000, D377)&gt;1, MATCH(D377, UNIQUE(FILTER($D$2:$D1000, COUNTIF($D$2:$D1000, $D$2:$D1000)&gt;1)), 0), """")"),87.0)</f>
        <v>87</v>
      </c>
      <c r="G377" s="8" t="s">
        <v>1024</v>
      </c>
      <c r="H377" s="8" t="s">
        <v>1025</v>
      </c>
      <c r="I377" s="8" t="s">
        <v>1288</v>
      </c>
      <c r="J377" s="8" t="s">
        <v>1289</v>
      </c>
    </row>
    <row r="378">
      <c r="A378" s="3">
        <v>10377.0</v>
      </c>
      <c r="B378" s="8" t="s">
        <v>308</v>
      </c>
      <c r="C378" s="8" t="s">
        <v>309</v>
      </c>
      <c r="D378" s="26" t="s">
        <v>1042</v>
      </c>
      <c r="E378" s="4" t="b">
        <f t="shared" si="1"/>
        <v>1</v>
      </c>
      <c r="F378" s="3">
        <f>IFERROR(__xludf.DUMMYFUNCTION("IF(COUNTIF($D$2:$D1000, D378)&gt;1, MATCH(D378, UNIQUE(FILTER($D$2:$D1000, COUNTIF($D$2:$D1000, $D$2:$D1000)&gt;1)), 0), """")"),88.0)</f>
        <v>88</v>
      </c>
      <c r="G378" s="8" t="s">
        <v>1043</v>
      </c>
      <c r="H378" s="8" t="s">
        <v>1044</v>
      </c>
      <c r="I378" s="8" t="s">
        <v>1290</v>
      </c>
      <c r="J378" s="8" t="s">
        <v>1291</v>
      </c>
    </row>
    <row r="379">
      <c r="A379" s="3">
        <v>10378.0</v>
      </c>
      <c r="B379" s="8" t="s">
        <v>308</v>
      </c>
      <c r="C379" s="8" t="s">
        <v>309</v>
      </c>
      <c r="D379" s="26" t="s">
        <v>695</v>
      </c>
      <c r="E379" s="4" t="b">
        <f t="shared" si="1"/>
        <v>1</v>
      </c>
      <c r="F379" s="3">
        <f>IFERROR(__xludf.DUMMYFUNCTION("IF(COUNTIF($D$2:$D1000, D379)&gt;1, MATCH(D379, UNIQUE(FILTER($D$2:$D1000, COUNTIF($D$2:$D1000, $D$2:$D1000)&gt;1)), 0), """")"),70.0)</f>
        <v>70</v>
      </c>
      <c r="G379" s="8" t="s">
        <v>417</v>
      </c>
      <c r="H379" s="8" t="s">
        <v>418</v>
      </c>
      <c r="I379" s="8" t="s">
        <v>1292</v>
      </c>
      <c r="J379" s="8" t="s">
        <v>1293</v>
      </c>
    </row>
    <row r="380">
      <c r="A380" s="3">
        <v>10379.0</v>
      </c>
      <c r="B380" s="8" t="s">
        <v>308</v>
      </c>
      <c r="C380" s="8" t="s">
        <v>309</v>
      </c>
      <c r="D380" s="26" t="s">
        <v>388</v>
      </c>
      <c r="E380" s="4" t="b">
        <f t="shared" si="1"/>
        <v>1</v>
      </c>
      <c r="F380" s="3">
        <f>IFERROR(__xludf.DUMMYFUNCTION("IF(COUNTIF($D$2:$D1000, D380)&gt;1, MATCH(D380, UNIQUE(FILTER($D$2:$D1000, COUNTIF($D$2:$D1000, $D$2:$D1000)&gt;1)), 0), """")"),39.0)</f>
        <v>39</v>
      </c>
      <c r="G380" s="8" t="s">
        <v>389</v>
      </c>
      <c r="H380" s="8" t="s">
        <v>390</v>
      </c>
      <c r="I380" s="8" t="s">
        <v>1294</v>
      </c>
      <c r="J380" s="8" t="s">
        <v>1295</v>
      </c>
    </row>
    <row r="381">
      <c r="A381" s="3">
        <v>10380.0</v>
      </c>
      <c r="B381" s="8" t="s">
        <v>308</v>
      </c>
      <c r="C381" s="8" t="s">
        <v>309</v>
      </c>
      <c r="D381" s="26" t="s">
        <v>25</v>
      </c>
      <c r="E381" s="4" t="b">
        <f t="shared" si="1"/>
        <v>1</v>
      </c>
      <c r="F381" s="3">
        <f>IFERROR(__xludf.DUMMYFUNCTION("IF(COUNTIF($D$2:$D1000, D381)&gt;1, MATCH(D381, UNIQUE(FILTER($D$2:$D1000, COUNTIF($D$2:$D1000, $D$2:$D1000)&gt;1)), 0), """")"),4.0)</f>
        <v>4</v>
      </c>
      <c r="G381" s="8" t="s">
        <v>26</v>
      </c>
      <c r="H381" s="8" t="s">
        <v>27</v>
      </c>
      <c r="I381" s="8" t="s">
        <v>1296</v>
      </c>
      <c r="J381" s="8" t="s">
        <v>1297</v>
      </c>
    </row>
    <row r="382">
      <c r="A382" s="3">
        <v>10381.0</v>
      </c>
      <c r="B382" s="8" t="s">
        <v>308</v>
      </c>
      <c r="C382" s="8" t="s">
        <v>309</v>
      </c>
      <c r="D382" s="26" t="s">
        <v>698</v>
      </c>
      <c r="E382" s="4" t="b">
        <f t="shared" si="1"/>
        <v>1</v>
      </c>
      <c r="F382" s="3">
        <f>IFERROR(__xludf.DUMMYFUNCTION("IF(COUNTIF($D$2:$D1000, D382)&gt;1, MATCH(D382, UNIQUE(FILTER($D$2:$D1000, COUNTIF($D$2:$D1000, $D$2:$D1000)&gt;1)), 0), """")"),71.0)</f>
        <v>71</v>
      </c>
      <c r="G382" s="8" t="s">
        <v>699</v>
      </c>
      <c r="H382" s="8" t="s">
        <v>700</v>
      </c>
      <c r="I382" s="8" t="s">
        <v>1298</v>
      </c>
      <c r="J382" s="8" t="s">
        <v>1299</v>
      </c>
    </row>
    <row r="383">
      <c r="A383" s="3">
        <v>10382.0</v>
      </c>
      <c r="B383" s="8" t="s">
        <v>308</v>
      </c>
      <c r="C383" s="8" t="s">
        <v>309</v>
      </c>
      <c r="D383" s="26" t="s">
        <v>96</v>
      </c>
      <c r="E383" s="4" t="b">
        <f t="shared" si="1"/>
        <v>1</v>
      </c>
      <c r="F383" s="3">
        <f>IFERROR(__xludf.DUMMYFUNCTION("IF(COUNTIF($D$2:$D1000, D383)&gt;1, MATCH(D383, UNIQUE(FILTER($D$2:$D1000, COUNTIF($D$2:$D1000, $D$2:$D1000)&gt;1)), 0), """")"),14.0)</f>
        <v>14</v>
      </c>
      <c r="G383" s="8" t="s">
        <v>97</v>
      </c>
      <c r="H383" s="8" t="s">
        <v>98</v>
      </c>
      <c r="I383" s="8" t="s">
        <v>1300</v>
      </c>
      <c r="J383" s="8" t="s">
        <v>1301</v>
      </c>
    </row>
    <row r="384">
      <c r="A384" s="3">
        <v>10383.0</v>
      </c>
      <c r="B384" s="8" t="s">
        <v>308</v>
      </c>
      <c r="C384" s="8" t="s">
        <v>309</v>
      </c>
      <c r="D384" s="26" t="s">
        <v>123</v>
      </c>
      <c r="E384" s="4" t="b">
        <f t="shared" si="1"/>
        <v>1</v>
      </c>
      <c r="F384" s="3">
        <f>IFERROR(__xludf.DUMMYFUNCTION("IF(COUNTIF($D$2:$D1000, D384)&gt;1, MATCH(D384, UNIQUE(FILTER($D$2:$D1000, COUNTIF($D$2:$D1000, $D$2:$D1000)&gt;1)), 0), """")"),17.0)</f>
        <v>17</v>
      </c>
      <c r="G384" s="8" t="s">
        <v>124</v>
      </c>
      <c r="H384" s="8" t="s">
        <v>125</v>
      </c>
      <c r="I384" s="8" t="s">
        <v>1302</v>
      </c>
      <c r="J384" s="8" t="s">
        <v>1303</v>
      </c>
    </row>
    <row r="385">
      <c r="A385" s="3">
        <v>10384.0</v>
      </c>
      <c r="B385" s="8" t="s">
        <v>308</v>
      </c>
      <c r="C385" s="8" t="s">
        <v>309</v>
      </c>
      <c r="D385" s="26" t="s">
        <v>722</v>
      </c>
      <c r="E385" s="4" t="b">
        <f t="shared" si="1"/>
        <v>1</v>
      </c>
      <c r="F385" s="3">
        <f>IFERROR(__xludf.DUMMYFUNCTION("IF(COUNTIF($D$2:$D1000, D385)&gt;1, MATCH(D385, UNIQUE(FILTER($D$2:$D1000, COUNTIF($D$2:$D1000, $D$2:$D1000)&gt;1)), 0), """")"),72.0)</f>
        <v>72</v>
      </c>
      <c r="G385" s="8" t="s">
        <v>723</v>
      </c>
      <c r="H385" s="8" t="s">
        <v>724</v>
      </c>
      <c r="I385" s="8" t="s">
        <v>1304</v>
      </c>
      <c r="J385" s="8" t="s">
        <v>1305</v>
      </c>
    </row>
    <row r="386">
      <c r="A386" s="3">
        <v>10385.0</v>
      </c>
      <c r="B386" s="8" t="s">
        <v>308</v>
      </c>
      <c r="C386" s="8" t="s">
        <v>309</v>
      </c>
      <c r="D386" s="26" t="s">
        <v>278</v>
      </c>
      <c r="E386" s="4" t="b">
        <f t="shared" si="1"/>
        <v>1</v>
      </c>
      <c r="F386" s="3">
        <f>IFERROR(__xludf.DUMMYFUNCTION("IF(COUNTIF($D$2:$D1000, D386)&gt;1, MATCH(D386, UNIQUE(FILTER($D$2:$D1000, COUNTIF($D$2:$D1000, $D$2:$D1000)&gt;1)), 0), """")"),25.0)</f>
        <v>25</v>
      </c>
      <c r="G386" s="8" t="s">
        <v>279</v>
      </c>
      <c r="H386" s="8" t="s">
        <v>1306</v>
      </c>
      <c r="I386" s="8" t="s">
        <v>1307</v>
      </c>
      <c r="J386" s="8" t="s">
        <v>1308</v>
      </c>
    </row>
    <row r="387">
      <c r="A387" s="3">
        <v>10386.0</v>
      </c>
      <c r="B387" s="8" t="s">
        <v>312</v>
      </c>
      <c r="C387" s="8" t="s">
        <v>313</v>
      </c>
      <c r="D387" s="26" t="s">
        <v>45</v>
      </c>
      <c r="E387" s="4" t="b">
        <f t="shared" si="1"/>
        <v>1</v>
      </c>
      <c r="F387" s="3">
        <f>IFERROR(__xludf.DUMMYFUNCTION("IF(COUNTIF($D$2:$D1000, D387)&gt;1, MATCH(D387, UNIQUE(FILTER($D$2:$D1000, COUNTIF($D$2:$D1000, $D$2:$D1000)&gt;1)), 0), """")"),8.0)</f>
        <v>8</v>
      </c>
      <c r="G387" s="8" t="s">
        <v>46</v>
      </c>
      <c r="H387" s="8" t="s">
        <v>47</v>
      </c>
      <c r="I387" s="8" t="s">
        <v>1309</v>
      </c>
      <c r="J387" s="8" t="s">
        <v>1310</v>
      </c>
    </row>
    <row r="388">
      <c r="A388" s="3">
        <v>10387.0</v>
      </c>
      <c r="B388" s="8" t="s">
        <v>312</v>
      </c>
      <c r="C388" s="8" t="s">
        <v>313</v>
      </c>
      <c r="D388" s="26" t="s">
        <v>376</v>
      </c>
      <c r="E388" s="4" t="b">
        <f t="shared" si="1"/>
        <v>1</v>
      </c>
      <c r="F388" s="3">
        <f>IFERROR(__xludf.DUMMYFUNCTION("IF(COUNTIF($D$2:$D1000, D388)&gt;1, MATCH(D388, UNIQUE(FILTER($D$2:$D1000, COUNTIF($D$2:$D1000, $D$2:$D1000)&gt;1)), 0), """")"),38.0)</f>
        <v>38</v>
      </c>
      <c r="G388" s="8" t="s">
        <v>377</v>
      </c>
      <c r="H388" s="8" t="s">
        <v>378</v>
      </c>
      <c r="I388" s="8" t="s">
        <v>1311</v>
      </c>
      <c r="J388" s="8" t="s">
        <v>1312</v>
      </c>
    </row>
    <row r="389">
      <c r="A389" s="3">
        <v>10388.0</v>
      </c>
      <c r="B389" s="8" t="s">
        <v>312</v>
      </c>
      <c r="C389" s="8" t="s">
        <v>313</v>
      </c>
      <c r="D389" s="26" t="s">
        <v>108</v>
      </c>
      <c r="E389" s="4" t="b">
        <f t="shared" si="1"/>
        <v>1</v>
      </c>
      <c r="F389" s="3">
        <f>IFERROR(__xludf.DUMMYFUNCTION("IF(COUNTIF($D$2:$D1000, D389)&gt;1, MATCH(D389, UNIQUE(FILTER($D$2:$D1000, COUNTIF($D$2:$D1000, $D$2:$D1000)&gt;1)), 0), """")"),16.0)</f>
        <v>16</v>
      </c>
      <c r="G389" s="8" t="s">
        <v>109</v>
      </c>
      <c r="H389" s="8" t="s">
        <v>110</v>
      </c>
      <c r="I389" s="8" t="s">
        <v>1313</v>
      </c>
      <c r="J389" s="8" t="s">
        <v>1314</v>
      </c>
    </row>
    <row r="390">
      <c r="A390" s="3">
        <v>10389.0</v>
      </c>
      <c r="B390" s="8" t="s">
        <v>312</v>
      </c>
      <c r="C390" s="8" t="s">
        <v>313</v>
      </c>
      <c r="D390" s="26" t="s">
        <v>96</v>
      </c>
      <c r="E390" s="4" t="b">
        <f t="shared" si="1"/>
        <v>1</v>
      </c>
      <c r="F390" s="3">
        <f>IFERROR(__xludf.DUMMYFUNCTION("IF(COUNTIF($D$2:$D1000, D390)&gt;1, MATCH(D390, UNIQUE(FILTER($D$2:$D1000, COUNTIF($D$2:$D1000, $D$2:$D1000)&gt;1)), 0), """")"),14.0)</f>
        <v>14</v>
      </c>
      <c r="G390" s="8" t="s">
        <v>97</v>
      </c>
      <c r="H390" s="8" t="s">
        <v>98</v>
      </c>
      <c r="I390" s="8" t="s">
        <v>1315</v>
      </c>
      <c r="J390" s="8" t="s">
        <v>1316</v>
      </c>
    </row>
    <row r="391">
      <c r="A391" s="3">
        <v>10390.0</v>
      </c>
      <c r="B391" s="8" t="s">
        <v>312</v>
      </c>
      <c r="C391" s="8" t="s">
        <v>313</v>
      </c>
      <c r="D391" s="26" t="s">
        <v>452</v>
      </c>
      <c r="E391" s="4" t="b">
        <f t="shared" si="1"/>
        <v>1</v>
      </c>
      <c r="F391" s="3">
        <f>IFERROR(__xludf.DUMMYFUNCTION("IF(COUNTIF($D$2:$D1000, D391)&gt;1, MATCH(D391, UNIQUE(FILTER($D$2:$D1000, COUNTIF($D$2:$D1000, $D$2:$D1000)&gt;1)), 0), """")"),46.0)</f>
        <v>46</v>
      </c>
      <c r="G391" s="8" t="s">
        <v>453</v>
      </c>
      <c r="H391" s="8" t="s">
        <v>454</v>
      </c>
      <c r="I391" s="8" t="s">
        <v>1317</v>
      </c>
      <c r="J391" s="8" t="s">
        <v>1318</v>
      </c>
    </row>
    <row r="392">
      <c r="A392" s="3">
        <v>10391.0</v>
      </c>
      <c r="B392" s="8" t="s">
        <v>312</v>
      </c>
      <c r="C392" s="8" t="s">
        <v>313</v>
      </c>
      <c r="D392" s="26" t="s">
        <v>72</v>
      </c>
      <c r="E392" s="4" t="b">
        <f t="shared" si="1"/>
        <v>1</v>
      </c>
      <c r="F392" s="3">
        <f>IFERROR(__xludf.DUMMYFUNCTION("IF(COUNTIF($D$2:$D1000, D392)&gt;1, MATCH(D392, UNIQUE(FILTER($D$2:$D1000, COUNTIF($D$2:$D1000, $D$2:$D1000)&gt;1)), 0), """")"),11.0)</f>
        <v>11</v>
      </c>
      <c r="G392" s="8" t="s">
        <v>73</v>
      </c>
      <c r="H392" s="8" t="s">
        <v>74</v>
      </c>
      <c r="I392" s="8" t="s">
        <v>1319</v>
      </c>
      <c r="J392" s="8" t="s">
        <v>1320</v>
      </c>
    </row>
    <row r="393">
      <c r="A393" s="3">
        <v>10392.0</v>
      </c>
      <c r="B393" s="8" t="s">
        <v>312</v>
      </c>
      <c r="C393" s="8" t="s">
        <v>313</v>
      </c>
      <c r="D393" s="26" t="s">
        <v>756</v>
      </c>
      <c r="E393" s="4" t="b">
        <f t="shared" si="1"/>
        <v>1</v>
      </c>
      <c r="F393" s="3">
        <f>IFERROR(__xludf.DUMMYFUNCTION("IF(COUNTIF($D$2:$D1000, D393)&gt;1, MATCH(D393, UNIQUE(FILTER($D$2:$D1000, COUNTIF($D$2:$D1000, $D$2:$D1000)&gt;1)), 0), """")"),75.0)</f>
        <v>75</v>
      </c>
      <c r="G393" s="8" t="s">
        <v>757</v>
      </c>
      <c r="H393" s="8" t="s">
        <v>758</v>
      </c>
      <c r="I393" s="8" t="s">
        <v>1321</v>
      </c>
      <c r="J393" s="8" t="s">
        <v>1322</v>
      </c>
    </row>
    <row r="394">
      <c r="A394" s="3">
        <v>10393.0</v>
      </c>
      <c r="B394" s="8" t="s">
        <v>312</v>
      </c>
      <c r="C394" s="8" t="s">
        <v>313</v>
      </c>
      <c r="D394" s="26" t="s">
        <v>751</v>
      </c>
      <c r="E394" s="4" t="b">
        <f t="shared" si="1"/>
        <v>1</v>
      </c>
      <c r="F394" s="3">
        <f>IFERROR(__xludf.DUMMYFUNCTION("IF(COUNTIF($D$2:$D1000, D394)&gt;1, MATCH(D394, UNIQUE(FILTER($D$2:$D1000, COUNTIF($D$2:$D1000, $D$2:$D1000)&gt;1)), 0), """")"),74.0)</f>
        <v>74</v>
      </c>
      <c r="G394" s="8" t="s">
        <v>752</v>
      </c>
      <c r="H394" s="8" t="s">
        <v>753</v>
      </c>
      <c r="I394" s="8" t="s">
        <v>1323</v>
      </c>
      <c r="J394" s="8" t="s">
        <v>1324</v>
      </c>
    </row>
    <row r="395">
      <c r="A395" s="3">
        <v>10394.0</v>
      </c>
      <c r="B395" s="8" t="s">
        <v>312</v>
      </c>
      <c r="C395" s="8" t="s">
        <v>313</v>
      </c>
      <c r="D395" s="26" t="s">
        <v>77</v>
      </c>
      <c r="E395" s="4" t="b">
        <f t="shared" si="1"/>
        <v>1</v>
      </c>
      <c r="F395" s="3">
        <f>IFERROR(__xludf.DUMMYFUNCTION("IF(COUNTIF($D$2:$D1000, D395)&gt;1, MATCH(D395, UNIQUE(FILTER($D$2:$D1000, COUNTIF($D$2:$D1000, $D$2:$D1000)&gt;1)), 0), """")"),12.0)</f>
        <v>12</v>
      </c>
      <c r="G395" s="8" t="s">
        <v>78</v>
      </c>
      <c r="H395" s="8" t="s">
        <v>79</v>
      </c>
      <c r="I395" s="8" t="s">
        <v>1325</v>
      </c>
      <c r="J395" s="8" t="s">
        <v>1326</v>
      </c>
    </row>
    <row r="396">
      <c r="A396" s="3">
        <v>10395.0</v>
      </c>
      <c r="B396" s="8" t="s">
        <v>312</v>
      </c>
      <c r="C396" s="8" t="s">
        <v>313</v>
      </c>
      <c r="D396" s="26" t="s">
        <v>777</v>
      </c>
      <c r="E396" s="4" t="b">
        <f t="shared" si="1"/>
        <v>1</v>
      </c>
      <c r="F396" s="3">
        <f>IFERROR(__xludf.DUMMYFUNCTION("IF(COUNTIF($D$2:$D1000, D396)&gt;1, MATCH(D396, UNIQUE(FILTER($D$2:$D1000, COUNTIF($D$2:$D1000, $D$2:$D1000)&gt;1)), 0), """")"),77.0)</f>
        <v>77</v>
      </c>
      <c r="G396" s="8" t="s">
        <v>778</v>
      </c>
      <c r="H396" s="8" t="s">
        <v>779</v>
      </c>
      <c r="I396" s="8" t="s">
        <v>1327</v>
      </c>
      <c r="J396" s="8" t="s">
        <v>1328</v>
      </c>
    </row>
    <row r="397">
      <c r="A397" s="3">
        <v>10396.0</v>
      </c>
      <c r="B397" s="8" t="s">
        <v>312</v>
      </c>
      <c r="C397" s="8" t="s">
        <v>313</v>
      </c>
      <c r="D397" s="26" t="s">
        <v>763</v>
      </c>
      <c r="E397" s="4" t="b">
        <f t="shared" si="1"/>
        <v>1</v>
      </c>
      <c r="F397" s="3">
        <f>IFERROR(__xludf.DUMMYFUNCTION("IF(COUNTIF($D$2:$D1000, D397)&gt;1, MATCH(D397, UNIQUE(FILTER($D$2:$D1000, COUNTIF($D$2:$D1000, $D$2:$D1000)&gt;1)), 0), """")"),76.0)</f>
        <v>76</v>
      </c>
      <c r="G397" s="8" t="s">
        <v>764</v>
      </c>
      <c r="H397" s="8" t="s">
        <v>765</v>
      </c>
      <c r="I397" s="8" t="s">
        <v>1329</v>
      </c>
      <c r="J397" s="8" t="s">
        <v>1330</v>
      </c>
    </row>
    <row r="398">
      <c r="A398" s="3">
        <v>10397.0</v>
      </c>
      <c r="B398" s="8" t="s">
        <v>312</v>
      </c>
      <c r="C398" s="8" t="s">
        <v>313</v>
      </c>
      <c r="D398" s="26" t="s">
        <v>82</v>
      </c>
      <c r="E398" s="4" t="b">
        <f t="shared" si="1"/>
        <v>1</v>
      </c>
      <c r="F398" s="3">
        <f>IFERROR(__xludf.DUMMYFUNCTION("IF(COUNTIF($D$2:$D1000, D398)&gt;1, MATCH(D398, UNIQUE(FILTER($D$2:$D1000, COUNTIF($D$2:$D1000, $D$2:$D1000)&gt;1)), 0), """")"),13.0)</f>
        <v>13</v>
      </c>
      <c r="G398" s="8" t="s">
        <v>83</v>
      </c>
      <c r="H398" s="8" t="s">
        <v>84</v>
      </c>
      <c r="I398" s="8" t="s">
        <v>1331</v>
      </c>
      <c r="J398" s="8" t="s">
        <v>1332</v>
      </c>
    </row>
    <row r="399">
      <c r="A399" s="3">
        <v>10398.0</v>
      </c>
      <c r="B399" s="8" t="s">
        <v>312</v>
      </c>
      <c r="C399" s="8" t="s">
        <v>313</v>
      </c>
      <c r="D399" s="26" t="s">
        <v>746</v>
      </c>
      <c r="E399" s="4" t="b">
        <f t="shared" si="1"/>
        <v>1</v>
      </c>
      <c r="F399" s="3">
        <f>IFERROR(__xludf.DUMMYFUNCTION("IF(COUNTIF($D$2:$D1000, D399)&gt;1, MATCH(D399, UNIQUE(FILTER($D$2:$D1000, COUNTIF($D$2:$D1000, $D$2:$D1000)&gt;1)), 0), """")"),73.0)</f>
        <v>73</v>
      </c>
      <c r="G399" s="8" t="s">
        <v>747</v>
      </c>
      <c r="H399" s="8" t="s">
        <v>748</v>
      </c>
      <c r="I399" s="8" t="s">
        <v>1333</v>
      </c>
      <c r="J399" s="8" t="s">
        <v>1334</v>
      </c>
    </row>
    <row r="400">
      <c r="A400" s="3">
        <v>10399.0</v>
      </c>
      <c r="B400" s="8" t="s">
        <v>312</v>
      </c>
      <c r="C400" s="8" t="s">
        <v>313</v>
      </c>
      <c r="D400" s="26" t="s">
        <v>1084</v>
      </c>
      <c r="E400" s="4" t="b">
        <f t="shared" si="1"/>
        <v>1</v>
      </c>
      <c r="F400" s="3">
        <f>IFERROR(__xludf.DUMMYFUNCTION("IF(COUNTIF($D$2:$D1000, D400)&gt;1, MATCH(D400, UNIQUE(FILTER($D$2:$D1000, COUNTIF($D$2:$D1000, $D$2:$D1000)&gt;1)), 0), """")"),89.0)</f>
        <v>89</v>
      </c>
      <c r="G400" s="8" t="s">
        <v>1085</v>
      </c>
      <c r="H400" s="8" t="s">
        <v>1084</v>
      </c>
      <c r="I400" s="8" t="s">
        <v>1335</v>
      </c>
      <c r="J400" s="8" t="s">
        <v>1336</v>
      </c>
    </row>
    <row r="401">
      <c r="A401" s="3">
        <v>10400.0</v>
      </c>
      <c r="B401" s="8" t="s">
        <v>312</v>
      </c>
      <c r="C401" s="8" t="s">
        <v>313</v>
      </c>
      <c r="D401" s="26" t="s">
        <v>52</v>
      </c>
      <c r="E401" s="4" t="b">
        <f t="shared" si="1"/>
        <v>1</v>
      </c>
      <c r="F401" s="3">
        <f>IFERROR(__xludf.DUMMYFUNCTION("IF(COUNTIF($D$2:$D1000, D401)&gt;1, MATCH(D401, UNIQUE(FILTER($D$2:$D1000, COUNTIF($D$2:$D1000, $D$2:$D1000)&gt;1)), 0), """")"),9.0)</f>
        <v>9</v>
      </c>
      <c r="G401" s="8" t="s">
        <v>53</v>
      </c>
      <c r="H401" s="8" t="s">
        <v>54</v>
      </c>
      <c r="I401" s="8" t="s">
        <v>1337</v>
      </c>
      <c r="J401" s="8" t="s">
        <v>1338</v>
      </c>
    </row>
    <row r="402">
      <c r="A402" s="3">
        <v>10401.0</v>
      </c>
      <c r="B402" s="8" t="s">
        <v>312</v>
      </c>
      <c r="C402" s="8" t="s">
        <v>313</v>
      </c>
      <c r="D402" s="26" t="s">
        <v>235</v>
      </c>
      <c r="E402" s="4" t="b">
        <f t="shared" si="1"/>
        <v>1</v>
      </c>
      <c r="F402" s="3">
        <f>IFERROR(__xludf.DUMMYFUNCTION("IF(COUNTIF($D$2:$D1000, D402)&gt;1, MATCH(D402, UNIQUE(FILTER($D$2:$D1000, COUNTIF($D$2:$D1000, $D$2:$D1000)&gt;1)), 0), """")"),22.0)</f>
        <v>22</v>
      </c>
      <c r="G402" s="8" t="s">
        <v>236</v>
      </c>
      <c r="H402" s="8" t="s">
        <v>237</v>
      </c>
      <c r="I402" s="8" t="s">
        <v>1339</v>
      </c>
      <c r="J402" s="8" t="s">
        <v>1340</v>
      </c>
    </row>
    <row r="403">
      <c r="A403" s="3">
        <v>10402.0</v>
      </c>
      <c r="B403" s="8" t="s">
        <v>312</v>
      </c>
      <c r="C403" s="8" t="s">
        <v>313</v>
      </c>
      <c r="D403" s="26" t="s">
        <v>1090</v>
      </c>
      <c r="E403" s="4" t="b">
        <f t="shared" si="1"/>
        <v>1</v>
      </c>
      <c r="F403" s="3">
        <f>IFERROR(__xludf.DUMMYFUNCTION("IF(COUNTIF($D$2:$D1000, D403)&gt;1, MATCH(D403, UNIQUE(FILTER($D$2:$D1000, COUNTIF($D$2:$D1000, $D$2:$D1000)&gt;1)), 0), """")"),90.0)</f>
        <v>90</v>
      </c>
      <c r="G403" s="8" t="s">
        <v>1091</v>
      </c>
      <c r="H403" s="8" t="s">
        <v>1092</v>
      </c>
      <c r="I403" s="8" t="s">
        <v>1341</v>
      </c>
      <c r="J403" s="8" t="s">
        <v>1342</v>
      </c>
    </row>
    <row r="404">
      <c r="A404" s="3">
        <v>10403.0</v>
      </c>
      <c r="B404" s="8" t="s">
        <v>295</v>
      </c>
      <c r="C404" s="8" t="s">
        <v>296</v>
      </c>
      <c r="D404" s="26" t="s">
        <v>304</v>
      </c>
      <c r="E404" s="4" t="b">
        <f t="shared" si="1"/>
        <v>1</v>
      </c>
      <c r="F404" s="3">
        <f>IFERROR(__xludf.DUMMYFUNCTION("IF(COUNTIF($D$2:$D1000, D404)&gt;1, MATCH(D404, UNIQUE(FILTER($D$2:$D1000, COUNTIF($D$2:$D1000, $D$2:$D1000)&gt;1)), 0), """")"),27.0)</f>
        <v>27</v>
      </c>
      <c r="G404" s="8" t="s">
        <v>305</v>
      </c>
      <c r="H404" s="8" t="s">
        <v>304</v>
      </c>
      <c r="I404" s="8" t="s">
        <v>1343</v>
      </c>
      <c r="J404" s="8" t="s">
        <v>1344</v>
      </c>
    </row>
    <row r="405">
      <c r="A405" s="3">
        <v>10404.0</v>
      </c>
      <c r="B405" s="8" t="s">
        <v>295</v>
      </c>
      <c r="C405" s="8" t="s">
        <v>296</v>
      </c>
      <c r="D405" s="26" t="s">
        <v>108</v>
      </c>
      <c r="E405" s="4" t="b">
        <f t="shared" si="1"/>
        <v>1</v>
      </c>
      <c r="F405" s="3">
        <f>IFERROR(__xludf.DUMMYFUNCTION("IF(COUNTIF($D$2:$D1000, D405)&gt;1, MATCH(D405, UNIQUE(FILTER($D$2:$D1000, COUNTIF($D$2:$D1000, $D$2:$D1000)&gt;1)), 0), """")"),16.0)</f>
        <v>16</v>
      </c>
      <c r="G405" s="8" t="s">
        <v>109</v>
      </c>
      <c r="H405" s="8" t="s">
        <v>110</v>
      </c>
      <c r="I405" s="8" t="s">
        <v>1345</v>
      </c>
      <c r="J405" s="8" t="s">
        <v>1346</v>
      </c>
    </row>
    <row r="406">
      <c r="A406" s="3">
        <v>10405.0</v>
      </c>
      <c r="B406" s="8" t="s">
        <v>295</v>
      </c>
      <c r="C406" s="8" t="s">
        <v>296</v>
      </c>
      <c r="D406" s="26" t="s">
        <v>321</v>
      </c>
      <c r="E406" s="4" t="b">
        <f t="shared" si="1"/>
        <v>1</v>
      </c>
      <c r="F406" s="3">
        <f>IFERROR(__xludf.DUMMYFUNCTION("IF(COUNTIF($D$2:$D1000, D406)&gt;1, MATCH(D406, UNIQUE(FILTER($D$2:$D1000, COUNTIF($D$2:$D1000, $D$2:$D1000)&gt;1)), 0), """")"),29.0)</f>
        <v>29</v>
      </c>
      <c r="G406" s="8" t="s">
        <v>322</v>
      </c>
      <c r="H406" s="8" t="s">
        <v>321</v>
      </c>
      <c r="I406" s="8" t="s">
        <v>1347</v>
      </c>
      <c r="J406" s="8" t="s">
        <v>1348</v>
      </c>
    </row>
    <row r="407">
      <c r="A407" s="3">
        <v>10406.0</v>
      </c>
      <c r="B407" s="8" t="s">
        <v>295</v>
      </c>
      <c r="C407" s="8" t="s">
        <v>296</v>
      </c>
      <c r="D407" s="26" t="s">
        <v>331</v>
      </c>
      <c r="E407" s="4" t="b">
        <f t="shared" si="1"/>
        <v>1</v>
      </c>
      <c r="F407" s="3">
        <f>IFERROR(__xludf.DUMMYFUNCTION("IF(COUNTIF($D$2:$D1000, D407)&gt;1, MATCH(D407, UNIQUE(FILTER($D$2:$D1000, COUNTIF($D$2:$D1000, $D$2:$D1000)&gt;1)), 0), """")"),31.0)</f>
        <v>31</v>
      </c>
      <c r="G407" s="8" t="s">
        <v>332</v>
      </c>
      <c r="H407" s="8" t="s">
        <v>331</v>
      </c>
      <c r="I407" s="8" t="s">
        <v>1349</v>
      </c>
      <c r="J407" s="8" t="s">
        <v>1350</v>
      </c>
    </row>
    <row r="408">
      <c r="A408" s="3">
        <v>10407.0</v>
      </c>
      <c r="B408" s="8" t="s">
        <v>295</v>
      </c>
      <c r="C408" s="8" t="s">
        <v>296</v>
      </c>
      <c r="D408" s="26" t="s">
        <v>178</v>
      </c>
      <c r="E408" s="4" t="b">
        <f t="shared" si="1"/>
        <v>1</v>
      </c>
      <c r="F408" s="3">
        <f>IFERROR(__xludf.DUMMYFUNCTION("IF(COUNTIF($D$2:$D1000, D408)&gt;1, MATCH(D408, UNIQUE(FILTER($D$2:$D1000, COUNTIF($D$2:$D1000, $D$2:$D1000)&gt;1)), 0), """")"),20.0)</f>
        <v>20</v>
      </c>
      <c r="G408" s="8" t="s">
        <v>179</v>
      </c>
      <c r="H408" s="8" t="s">
        <v>178</v>
      </c>
      <c r="I408" s="8" t="s">
        <v>1351</v>
      </c>
      <c r="J408" s="8" t="s">
        <v>1352</v>
      </c>
    </row>
    <row r="409">
      <c r="A409" s="3">
        <v>10408.0</v>
      </c>
      <c r="B409" s="8" t="s">
        <v>295</v>
      </c>
      <c r="C409" s="8" t="s">
        <v>296</v>
      </c>
      <c r="D409" s="26" t="s">
        <v>335</v>
      </c>
      <c r="E409" s="4" t="b">
        <f t="shared" si="1"/>
        <v>1</v>
      </c>
      <c r="F409" s="3">
        <f>IFERROR(__xludf.DUMMYFUNCTION("IF(COUNTIF($D$2:$D1000, D409)&gt;1, MATCH(D409, UNIQUE(FILTER($D$2:$D1000, COUNTIF($D$2:$D1000, $D$2:$D1000)&gt;1)), 0), """")"),32.0)</f>
        <v>32</v>
      </c>
      <c r="G409" s="8" t="s">
        <v>336</v>
      </c>
      <c r="H409" s="8" t="s">
        <v>337</v>
      </c>
      <c r="I409" s="8" t="s">
        <v>1353</v>
      </c>
      <c r="J409" s="8" t="s">
        <v>1354</v>
      </c>
    </row>
    <row r="410">
      <c r="A410" s="3">
        <v>10409.0</v>
      </c>
      <c r="B410" s="8" t="s">
        <v>295</v>
      </c>
      <c r="C410" s="8" t="s">
        <v>296</v>
      </c>
      <c r="D410" s="26" t="s">
        <v>643</v>
      </c>
      <c r="E410" s="4" t="b">
        <f t="shared" si="1"/>
        <v>1</v>
      </c>
      <c r="F410" s="3">
        <f>IFERROR(__xludf.DUMMYFUNCTION("IF(COUNTIF($D$2:$D1000, D410)&gt;1, MATCH(D410, UNIQUE(FILTER($D$2:$D1000, COUNTIF($D$2:$D1000, $D$2:$D1000)&gt;1)), 0), """")"),66.0)</f>
        <v>66</v>
      </c>
      <c r="G410" s="8" t="s">
        <v>644</v>
      </c>
      <c r="H410" s="8" t="s">
        <v>645</v>
      </c>
      <c r="I410" s="8" t="s">
        <v>1355</v>
      </c>
      <c r="J410" s="8" t="s">
        <v>1356</v>
      </c>
    </row>
    <row r="411">
      <c r="A411" s="3">
        <v>10410.0</v>
      </c>
      <c r="B411" s="8" t="s">
        <v>295</v>
      </c>
      <c r="C411" s="8" t="s">
        <v>296</v>
      </c>
      <c r="D411" s="26" t="s">
        <v>1357</v>
      </c>
      <c r="E411" s="4" t="b">
        <f t="shared" si="1"/>
        <v>0</v>
      </c>
      <c r="F411" s="3" t="str">
        <f>IFERROR(__xludf.DUMMYFUNCTION("IF(COUNTIF($D$2:$D1000, D411)&gt;1, MATCH(D411, UNIQUE(FILTER($D$2:$D1000, COUNTIF($D$2:$D1000, $D$2:$D1000)&gt;1)), 0), """")"),"")</f>
        <v/>
      </c>
      <c r="G411" s="8" t="s">
        <v>1358</v>
      </c>
      <c r="H411" s="8" t="s">
        <v>1359</v>
      </c>
      <c r="I411" s="8" t="s">
        <v>1360</v>
      </c>
      <c r="J411" s="8" t="s">
        <v>1361</v>
      </c>
    </row>
    <row r="412">
      <c r="A412" s="3">
        <v>10411.0</v>
      </c>
      <c r="B412" s="8" t="s">
        <v>295</v>
      </c>
      <c r="C412" s="8" t="s">
        <v>296</v>
      </c>
      <c r="D412" s="26" t="s">
        <v>816</v>
      </c>
      <c r="E412" s="4" t="b">
        <f t="shared" si="1"/>
        <v>1</v>
      </c>
      <c r="F412" s="3">
        <f>IFERROR(__xludf.DUMMYFUNCTION("IF(COUNTIF($D$2:$D1000, D412)&gt;1, MATCH(D412, UNIQUE(FILTER($D$2:$D1000, COUNTIF($D$2:$D1000, $D$2:$D1000)&gt;1)), 0), """")"),79.0)</f>
        <v>79</v>
      </c>
      <c r="G412" s="8" t="s">
        <v>817</v>
      </c>
      <c r="H412" s="8" t="s">
        <v>818</v>
      </c>
      <c r="I412" s="8" t="s">
        <v>1362</v>
      </c>
      <c r="J412" s="8" t="s">
        <v>1363</v>
      </c>
    </row>
    <row r="413">
      <c r="A413" s="3">
        <v>10412.0</v>
      </c>
      <c r="B413" s="8" t="s">
        <v>295</v>
      </c>
      <c r="C413" s="8" t="s">
        <v>296</v>
      </c>
      <c r="D413" s="26" t="s">
        <v>316</v>
      </c>
      <c r="E413" s="4" t="b">
        <f t="shared" si="1"/>
        <v>1</v>
      </c>
      <c r="F413" s="3">
        <f>IFERROR(__xludf.DUMMYFUNCTION("IF(COUNTIF($D$2:$D1000, D413)&gt;1, MATCH(D413, UNIQUE(FILTER($D$2:$D1000, COUNTIF($D$2:$D1000, $D$2:$D1000)&gt;1)), 0), """")"),28.0)</f>
        <v>28</v>
      </c>
      <c r="G413" s="8" t="s">
        <v>317</v>
      </c>
      <c r="H413" s="8" t="s">
        <v>318</v>
      </c>
      <c r="I413" s="8" t="s">
        <v>1364</v>
      </c>
      <c r="J413" s="8" t="s">
        <v>1365</v>
      </c>
    </row>
    <row r="414">
      <c r="A414" s="3">
        <v>10413.0</v>
      </c>
      <c r="B414" s="8" t="s">
        <v>295</v>
      </c>
      <c r="C414" s="8" t="s">
        <v>296</v>
      </c>
      <c r="D414" s="26" t="s">
        <v>72</v>
      </c>
      <c r="E414" s="4" t="b">
        <f t="shared" si="1"/>
        <v>1</v>
      </c>
      <c r="F414" s="3">
        <f>IFERROR(__xludf.DUMMYFUNCTION("IF(COUNTIF($D$2:$D1000, D414)&gt;1, MATCH(D414, UNIQUE(FILTER($D$2:$D1000, COUNTIF($D$2:$D1000, $D$2:$D1000)&gt;1)), 0), """")"),11.0)</f>
        <v>11</v>
      </c>
      <c r="G414" s="8" t="s">
        <v>73</v>
      </c>
      <c r="H414" s="8" t="s">
        <v>74</v>
      </c>
      <c r="I414" s="8" t="s">
        <v>1366</v>
      </c>
      <c r="J414" s="8" t="s">
        <v>1367</v>
      </c>
    </row>
    <row r="415">
      <c r="A415" s="3">
        <v>10414.0</v>
      </c>
      <c r="B415" s="8" t="s">
        <v>295</v>
      </c>
      <c r="C415" s="8" t="s">
        <v>296</v>
      </c>
      <c r="D415" s="26" t="s">
        <v>791</v>
      </c>
      <c r="E415" s="4" t="b">
        <f t="shared" si="1"/>
        <v>1</v>
      </c>
      <c r="F415" s="3">
        <f>IFERROR(__xludf.DUMMYFUNCTION("IF(COUNTIF($D$2:$D1000, D415)&gt;1, MATCH(D415, UNIQUE(FILTER($D$2:$D1000, COUNTIF($D$2:$D1000, $D$2:$D1000)&gt;1)), 0), """")"),78.0)</f>
        <v>78</v>
      </c>
      <c r="G415" s="8" t="s">
        <v>792</v>
      </c>
      <c r="H415" s="8" t="s">
        <v>793</v>
      </c>
      <c r="I415" s="8" t="s">
        <v>1368</v>
      </c>
      <c r="J415" s="8" t="s">
        <v>1369</v>
      </c>
    </row>
    <row r="416">
      <c r="A416" s="3">
        <v>10415.0</v>
      </c>
      <c r="B416" s="8" t="s">
        <v>295</v>
      </c>
      <c r="C416" s="8" t="s">
        <v>296</v>
      </c>
      <c r="D416" s="26" t="s">
        <v>823</v>
      </c>
      <c r="E416" s="4" t="b">
        <f t="shared" si="1"/>
        <v>1</v>
      </c>
      <c r="F416" s="3">
        <f>IFERROR(__xludf.DUMMYFUNCTION("IF(COUNTIF($D$2:$D1000, D416)&gt;1, MATCH(D416, UNIQUE(FILTER($D$2:$D1000, COUNTIF($D$2:$D1000, $D$2:$D1000)&gt;1)), 0), """")"),80.0)</f>
        <v>80</v>
      </c>
      <c r="G416" s="8" t="s">
        <v>824</v>
      </c>
      <c r="H416" s="8" t="s">
        <v>825</v>
      </c>
      <c r="I416" s="8" t="s">
        <v>1370</v>
      </c>
      <c r="J416" s="8" t="s">
        <v>1371</v>
      </c>
    </row>
    <row r="417">
      <c r="A417" s="3">
        <v>10416.0</v>
      </c>
      <c r="B417" s="8" t="s">
        <v>295</v>
      </c>
      <c r="C417" s="8" t="s">
        <v>296</v>
      </c>
      <c r="D417" s="26" t="s">
        <v>834</v>
      </c>
      <c r="E417" s="4" t="b">
        <f t="shared" si="1"/>
        <v>1</v>
      </c>
      <c r="F417" s="3">
        <f>IFERROR(__xludf.DUMMYFUNCTION("IF(COUNTIF($D$2:$D1000, D417)&gt;1, MATCH(D417, UNIQUE(FILTER($D$2:$D1000, COUNTIF($D$2:$D1000, $D$2:$D1000)&gt;1)), 0), """")"),81.0)</f>
        <v>81</v>
      </c>
      <c r="G417" s="8" t="s">
        <v>835</v>
      </c>
      <c r="H417" s="8" t="s">
        <v>836</v>
      </c>
      <c r="I417" s="8" t="s">
        <v>1372</v>
      </c>
      <c r="J417" s="8" t="s">
        <v>1373</v>
      </c>
    </row>
    <row r="418">
      <c r="A418" s="3">
        <v>10417.0</v>
      </c>
      <c r="B418" s="8" t="s">
        <v>295</v>
      </c>
      <c r="C418" s="8" t="s">
        <v>296</v>
      </c>
      <c r="D418" s="26" t="s">
        <v>1374</v>
      </c>
      <c r="E418" s="4" t="b">
        <f t="shared" si="1"/>
        <v>0</v>
      </c>
      <c r="F418" s="3" t="str">
        <f>IFERROR(__xludf.DUMMYFUNCTION("IF(COUNTIF($D$2:$D1000, D418)&gt;1, MATCH(D418, UNIQUE(FILTER($D$2:$D1000, COUNTIF($D$2:$D1000, $D$2:$D1000)&gt;1)), 0), """")"),"")</f>
        <v/>
      </c>
      <c r="G418" s="8" t="s">
        <v>1375</v>
      </c>
      <c r="H418" s="8" t="s">
        <v>1376</v>
      </c>
      <c r="I418" s="8" t="s">
        <v>1377</v>
      </c>
      <c r="J418" s="8" t="s">
        <v>1378</v>
      </c>
    </row>
    <row r="419">
      <c r="A419" s="3">
        <v>10418.0</v>
      </c>
      <c r="B419" s="8" t="s">
        <v>295</v>
      </c>
      <c r="C419" s="8" t="s">
        <v>296</v>
      </c>
      <c r="D419" s="26" t="s">
        <v>984</v>
      </c>
      <c r="E419" s="4" t="b">
        <f t="shared" si="1"/>
        <v>1</v>
      </c>
      <c r="F419" s="3">
        <f>IFERROR(__xludf.DUMMYFUNCTION("IF(COUNTIF($D$2:$D1000, D419)&gt;1, MATCH(D419, UNIQUE(FILTER($D$2:$D1000, COUNTIF($D$2:$D1000, $D$2:$D1000)&gt;1)), 0), """")"),86.0)</f>
        <v>86</v>
      </c>
      <c r="G419" s="8" t="s">
        <v>985</v>
      </c>
      <c r="H419" s="8" t="s">
        <v>986</v>
      </c>
      <c r="I419" s="8" t="s">
        <v>1379</v>
      </c>
      <c r="J419" s="8" t="s">
        <v>1380</v>
      </c>
    </row>
    <row r="420">
      <c r="A420" s="3">
        <v>10419.0</v>
      </c>
      <c r="B420" s="8" t="s">
        <v>295</v>
      </c>
      <c r="C420" s="8" t="s">
        <v>296</v>
      </c>
      <c r="D420" s="26" t="s">
        <v>1381</v>
      </c>
      <c r="E420" s="4" t="b">
        <f t="shared" si="1"/>
        <v>1</v>
      </c>
      <c r="F420" s="3">
        <f>IFERROR(__xludf.DUMMYFUNCTION("IF(COUNTIF($D$2:$D1000, D420)&gt;1, MATCH(D420, UNIQUE(FILTER($D$2:$D1000, COUNTIF($D$2:$D1000, $D$2:$D1000)&gt;1)), 0), """")"),92.0)</f>
        <v>92</v>
      </c>
      <c r="G420" s="8" t="s">
        <v>1382</v>
      </c>
      <c r="H420" s="8" t="s">
        <v>1383</v>
      </c>
      <c r="I420" s="8" t="s">
        <v>1384</v>
      </c>
      <c r="J420" s="8" t="s">
        <v>1385</v>
      </c>
    </row>
    <row r="421">
      <c r="A421" s="3">
        <v>10420.0</v>
      </c>
      <c r="B421" s="8" t="s">
        <v>295</v>
      </c>
      <c r="C421" s="8" t="s">
        <v>296</v>
      </c>
      <c r="D421" s="26" t="s">
        <v>897</v>
      </c>
      <c r="E421" s="4" t="b">
        <f t="shared" si="1"/>
        <v>1</v>
      </c>
      <c r="F421" s="3">
        <f>IFERROR(__xludf.DUMMYFUNCTION("IF(COUNTIF($D$2:$D1000, D421)&gt;1, MATCH(D421, UNIQUE(FILTER($D$2:$D1000, COUNTIF($D$2:$D1000, $D$2:$D1000)&gt;1)), 0), """")"),84.0)</f>
        <v>84</v>
      </c>
      <c r="G421" s="8" t="s">
        <v>898</v>
      </c>
      <c r="H421" s="8" t="s">
        <v>899</v>
      </c>
      <c r="I421" s="8" t="s">
        <v>1386</v>
      </c>
      <c r="J421" s="8" t="s">
        <v>1387</v>
      </c>
    </row>
    <row r="422">
      <c r="A422" s="3">
        <v>10421.0</v>
      </c>
      <c r="B422" s="8" t="s">
        <v>8</v>
      </c>
      <c r="C422" s="8" t="s">
        <v>9</v>
      </c>
      <c r="D422" s="26" t="s">
        <v>484</v>
      </c>
      <c r="E422" s="4" t="b">
        <f t="shared" si="1"/>
        <v>1</v>
      </c>
      <c r="F422" s="3">
        <f>IFERROR(__xludf.DUMMYFUNCTION("IF(COUNTIF($D$2:$D1000, D422)&gt;1, MATCH(D422, UNIQUE(FILTER($D$2:$D1000, COUNTIF($D$2:$D1000, $D$2:$D1000)&gt;1)), 0), """")"),48.0)</f>
        <v>48</v>
      </c>
      <c r="G422" s="8" t="s">
        <v>485</v>
      </c>
      <c r="H422" s="8" t="s">
        <v>484</v>
      </c>
      <c r="I422" s="8" t="s">
        <v>1388</v>
      </c>
      <c r="J422" s="8" t="s">
        <v>1389</v>
      </c>
    </row>
    <row r="423">
      <c r="A423" s="3">
        <v>10422.0</v>
      </c>
      <c r="B423" s="8" t="s">
        <v>8</v>
      </c>
      <c r="C423" s="8" t="s">
        <v>9</v>
      </c>
      <c r="D423" s="26" t="s">
        <v>327</v>
      </c>
      <c r="E423" s="4" t="b">
        <f t="shared" si="1"/>
        <v>1</v>
      </c>
      <c r="F423" s="3">
        <f>IFERROR(__xludf.DUMMYFUNCTION("IF(COUNTIF($D$2:$D1000, D423)&gt;1, MATCH(D423, UNIQUE(FILTER($D$2:$D1000, COUNTIF($D$2:$D1000, $D$2:$D1000)&gt;1)), 0), """")"),30.0)</f>
        <v>30</v>
      </c>
      <c r="G423" s="8" t="s">
        <v>328</v>
      </c>
      <c r="H423" s="8" t="s">
        <v>327</v>
      </c>
      <c r="I423" s="8" t="s">
        <v>1390</v>
      </c>
      <c r="J423" s="8" t="s">
        <v>1391</v>
      </c>
    </row>
    <row r="424">
      <c r="A424" s="3">
        <v>10423.0</v>
      </c>
      <c r="B424" s="8" t="s">
        <v>8</v>
      </c>
      <c r="C424" s="8" t="s">
        <v>9</v>
      </c>
      <c r="D424" s="26" t="s">
        <v>506</v>
      </c>
      <c r="E424" s="4" t="b">
        <f t="shared" si="1"/>
        <v>1</v>
      </c>
      <c r="F424" s="3">
        <f>IFERROR(__xludf.DUMMYFUNCTION("IF(COUNTIF($D$2:$D1000, D424)&gt;1, MATCH(D424, UNIQUE(FILTER($D$2:$D1000, COUNTIF($D$2:$D1000, $D$2:$D1000)&gt;1)), 0), """")"),50.0)</f>
        <v>50</v>
      </c>
      <c r="G424" s="8" t="s">
        <v>507</v>
      </c>
      <c r="H424" s="8" t="s">
        <v>508</v>
      </c>
      <c r="I424" s="8" t="s">
        <v>1392</v>
      </c>
      <c r="J424" s="8" t="s">
        <v>1393</v>
      </c>
    </row>
    <row r="425">
      <c r="A425" s="3">
        <v>10424.0</v>
      </c>
      <c r="B425" s="8" t="s">
        <v>8</v>
      </c>
      <c r="C425" s="8" t="s">
        <v>9</v>
      </c>
      <c r="D425" s="26" t="s">
        <v>513</v>
      </c>
      <c r="E425" s="4" t="b">
        <f t="shared" si="1"/>
        <v>1</v>
      </c>
      <c r="F425" s="3">
        <f>IFERROR(__xludf.DUMMYFUNCTION("IF(COUNTIF($D$2:$D1000, D425)&gt;1, MATCH(D425, UNIQUE(FILTER($D$2:$D1000, COUNTIF($D$2:$D1000, $D$2:$D1000)&gt;1)), 0), """")"),51.0)</f>
        <v>51</v>
      </c>
      <c r="G425" s="8" t="s">
        <v>514</v>
      </c>
      <c r="H425" s="8" t="s">
        <v>515</v>
      </c>
      <c r="I425" s="8" t="s">
        <v>1394</v>
      </c>
      <c r="J425" s="8" t="s">
        <v>1395</v>
      </c>
    </row>
    <row r="426">
      <c r="A426" s="3">
        <v>10425.0</v>
      </c>
      <c r="B426" s="8" t="s">
        <v>8</v>
      </c>
      <c r="C426" s="8" t="s">
        <v>9</v>
      </c>
      <c r="D426" s="26" t="s">
        <v>52</v>
      </c>
      <c r="E426" s="4" t="b">
        <f t="shared" si="1"/>
        <v>1</v>
      </c>
      <c r="F426" s="3">
        <f>IFERROR(__xludf.DUMMYFUNCTION("IF(COUNTIF($D$2:$D1000, D426)&gt;1, MATCH(D426, UNIQUE(FILTER($D$2:$D1000, COUNTIF($D$2:$D1000, $D$2:$D1000)&gt;1)), 0), """")"),9.0)</f>
        <v>9</v>
      </c>
      <c r="G426" s="8" t="s">
        <v>53</v>
      </c>
      <c r="H426" s="8" t="s">
        <v>54</v>
      </c>
      <c r="I426" s="8" t="s">
        <v>1396</v>
      </c>
      <c r="J426" s="8" t="s">
        <v>1397</v>
      </c>
    </row>
    <row r="427">
      <c r="A427" s="3">
        <v>10426.0</v>
      </c>
      <c r="B427" s="8" t="s">
        <v>8</v>
      </c>
      <c r="C427" s="8" t="s">
        <v>9</v>
      </c>
      <c r="D427" s="26" t="s">
        <v>331</v>
      </c>
      <c r="E427" s="4" t="b">
        <f t="shared" si="1"/>
        <v>1</v>
      </c>
      <c r="F427" s="3">
        <f>IFERROR(__xludf.DUMMYFUNCTION("IF(COUNTIF($D$2:$D1000, D427)&gt;1, MATCH(D427, UNIQUE(FILTER($D$2:$D1000, COUNTIF($D$2:$D1000, $D$2:$D1000)&gt;1)), 0), """")"),31.0)</f>
        <v>31</v>
      </c>
      <c r="G427" s="8" t="s">
        <v>332</v>
      </c>
      <c r="H427" s="8" t="s">
        <v>331</v>
      </c>
      <c r="I427" s="8" t="s">
        <v>1398</v>
      </c>
      <c r="J427" s="8" t="s">
        <v>1399</v>
      </c>
    </row>
    <row r="428">
      <c r="A428" s="3">
        <v>10427.0</v>
      </c>
      <c r="B428" s="8" t="s">
        <v>8</v>
      </c>
      <c r="C428" s="8" t="s">
        <v>9</v>
      </c>
      <c r="D428" s="26" t="s">
        <v>304</v>
      </c>
      <c r="E428" s="4" t="b">
        <f t="shared" si="1"/>
        <v>1</v>
      </c>
      <c r="F428" s="3">
        <f>IFERROR(__xludf.DUMMYFUNCTION("IF(COUNTIF($D$2:$D1000, D428)&gt;1, MATCH(D428, UNIQUE(FILTER($D$2:$D1000, COUNTIF($D$2:$D1000, $D$2:$D1000)&gt;1)), 0), """")"),27.0)</f>
        <v>27</v>
      </c>
      <c r="G428" s="8" t="s">
        <v>305</v>
      </c>
      <c r="H428" s="8" t="s">
        <v>304</v>
      </c>
      <c r="I428" s="8" t="s">
        <v>1400</v>
      </c>
      <c r="J428" s="8" t="s">
        <v>1401</v>
      </c>
    </row>
    <row r="429">
      <c r="A429" s="3">
        <v>10428.0</v>
      </c>
      <c r="B429" s="8" t="s">
        <v>8</v>
      </c>
      <c r="C429" s="8" t="s">
        <v>9</v>
      </c>
      <c r="D429" s="26" t="s">
        <v>347</v>
      </c>
      <c r="E429" s="4" t="b">
        <f t="shared" si="1"/>
        <v>1</v>
      </c>
      <c r="F429" s="3">
        <f>IFERROR(__xludf.DUMMYFUNCTION("IF(COUNTIF($D$2:$D1000, D429)&gt;1, MATCH(D429, UNIQUE(FILTER($D$2:$D1000, COUNTIF($D$2:$D1000, $D$2:$D1000)&gt;1)), 0), """")"),34.0)</f>
        <v>34</v>
      </c>
      <c r="G429" s="11" t="s">
        <v>348</v>
      </c>
      <c r="H429" s="12" t="s">
        <v>349</v>
      </c>
      <c r="I429" s="8" t="s">
        <v>1402</v>
      </c>
      <c r="J429" s="8" t="s">
        <v>1403</v>
      </c>
    </row>
    <row r="430">
      <c r="A430" s="3">
        <v>10429.0</v>
      </c>
      <c r="B430" s="8" t="s">
        <v>8</v>
      </c>
      <c r="C430" s="8" t="s">
        <v>9</v>
      </c>
      <c r="D430" s="26" t="s">
        <v>263</v>
      </c>
      <c r="E430" s="4" t="b">
        <f t="shared" si="1"/>
        <v>1</v>
      </c>
      <c r="F430" s="3">
        <f>IFERROR(__xludf.DUMMYFUNCTION("IF(COUNTIF($D$2:$D1000, D430)&gt;1, MATCH(D430, UNIQUE(FILTER($D$2:$D1000, COUNTIF($D$2:$D1000, $D$2:$D1000)&gt;1)), 0), """")"),23.0)</f>
        <v>23</v>
      </c>
      <c r="G430" s="8" t="s">
        <v>264</v>
      </c>
      <c r="H430" s="8" t="s">
        <v>265</v>
      </c>
      <c r="I430" s="8" t="s">
        <v>1404</v>
      </c>
      <c r="J430" s="8" t="s">
        <v>1405</v>
      </c>
    </row>
    <row r="431">
      <c r="A431" s="3">
        <v>10430.0</v>
      </c>
      <c r="B431" s="8" t="s">
        <v>8</v>
      </c>
      <c r="C431" s="8" t="s">
        <v>9</v>
      </c>
      <c r="D431" s="26" t="s">
        <v>290</v>
      </c>
      <c r="E431" s="4" t="b">
        <f t="shared" si="1"/>
        <v>1</v>
      </c>
      <c r="F431" s="3">
        <f>IFERROR(__xludf.DUMMYFUNCTION("IF(COUNTIF($D$2:$D1000, D431)&gt;1, MATCH(D431, UNIQUE(FILTER($D$2:$D1000, COUNTIF($D$2:$D1000, $D$2:$D1000)&gt;1)), 0), """")"),26.0)</f>
        <v>26</v>
      </c>
      <c r="G431" s="8" t="s">
        <v>291</v>
      </c>
      <c r="H431" s="8" t="s">
        <v>292</v>
      </c>
      <c r="I431" s="8" t="s">
        <v>1406</v>
      </c>
      <c r="J431" s="8" t="s">
        <v>1407</v>
      </c>
    </row>
    <row r="432">
      <c r="A432" s="3">
        <v>10431.0</v>
      </c>
      <c r="B432" s="8" t="s">
        <v>8</v>
      </c>
      <c r="C432" s="8" t="s">
        <v>9</v>
      </c>
      <c r="D432" s="26" t="s">
        <v>72</v>
      </c>
      <c r="E432" s="4" t="b">
        <f t="shared" si="1"/>
        <v>1</v>
      </c>
      <c r="F432" s="3">
        <f>IFERROR(__xludf.DUMMYFUNCTION("IF(COUNTIF($D$2:$D1000, D432)&gt;1, MATCH(D432, UNIQUE(FILTER($D$2:$D1000, COUNTIF($D$2:$D1000, $D$2:$D1000)&gt;1)), 0), """")"),11.0)</f>
        <v>11</v>
      </c>
      <c r="G432" s="8" t="s">
        <v>73</v>
      </c>
      <c r="H432" s="8" t="s">
        <v>74</v>
      </c>
      <c r="I432" s="8" t="s">
        <v>1408</v>
      </c>
      <c r="J432" s="8" t="s">
        <v>1409</v>
      </c>
    </row>
    <row r="433">
      <c r="A433" s="3">
        <v>10432.0</v>
      </c>
      <c r="B433" s="8" t="s">
        <v>8</v>
      </c>
      <c r="C433" s="8" t="s">
        <v>9</v>
      </c>
      <c r="D433" s="26" t="s">
        <v>25</v>
      </c>
      <c r="E433" s="4" t="b">
        <f t="shared" si="1"/>
        <v>1</v>
      </c>
      <c r="F433" s="3">
        <f>IFERROR(__xludf.DUMMYFUNCTION("IF(COUNTIF($D$2:$D1000, D433)&gt;1, MATCH(D433, UNIQUE(FILTER($D$2:$D1000, COUNTIF($D$2:$D1000, $D$2:$D1000)&gt;1)), 0), """")"),4.0)</f>
        <v>4</v>
      </c>
      <c r="G433" s="8" t="s">
        <v>26</v>
      </c>
      <c r="H433" s="8" t="s">
        <v>27</v>
      </c>
      <c r="I433" s="8" t="s">
        <v>1410</v>
      </c>
      <c r="J433" s="8" t="s">
        <v>1411</v>
      </c>
    </row>
    <row r="434">
      <c r="A434" s="3">
        <v>10433.0</v>
      </c>
      <c r="B434" s="8" t="s">
        <v>8</v>
      </c>
      <c r="C434" s="8" t="s">
        <v>9</v>
      </c>
      <c r="D434" s="26" t="s">
        <v>96</v>
      </c>
      <c r="E434" s="4" t="b">
        <f t="shared" si="1"/>
        <v>1</v>
      </c>
      <c r="F434" s="3">
        <f>IFERROR(__xludf.DUMMYFUNCTION("IF(COUNTIF($D$2:$D1000, D434)&gt;1, MATCH(D434, UNIQUE(FILTER($D$2:$D1000, COUNTIF($D$2:$D1000, $D$2:$D1000)&gt;1)), 0), """")"),14.0)</f>
        <v>14</v>
      </c>
      <c r="G434" s="8" t="s">
        <v>97</v>
      </c>
      <c r="H434" s="8" t="s">
        <v>98</v>
      </c>
      <c r="I434" s="8" t="s">
        <v>1412</v>
      </c>
      <c r="J434" s="8" t="s">
        <v>1413</v>
      </c>
    </row>
    <row r="435">
      <c r="A435" s="3">
        <v>10434.0</v>
      </c>
      <c r="B435" s="8" t="s">
        <v>8</v>
      </c>
      <c r="C435" s="8" t="s">
        <v>9</v>
      </c>
      <c r="D435" s="26" t="s">
        <v>35</v>
      </c>
      <c r="E435" s="4" t="b">
        <f t="shared" si="1"/>
        <v>1</v>
      </c>
      <c r="F435" s="3">
        <f>IFERROR(__xludf.DUMMYFUNCTION("IF(COUNTIF($D$2:$D1000, D435)&gt;1, MATCH(D435, UNIQUE(FILTER($D$2:$D1000, COUNTIF($D$2:$D1000, $D$2:$D1000)&gt;1)), 0), """")"),6.0)</f>
        <v>6</v>
      </c>
      <c r="G435" s="8" t="s">
        <v>36</v>
      </c>
      <c r="H435" s="8" t="s">
        <v>37</v>
      </c>
      <c r="I435" s="8" t="s">
        <v>1414</v>
      </c>
      <c r="J435" s="8" t="s">
        <v>1415</v>
      </c>
    </row>
    <row r="436">
      <c r="A436" s="3">
        <v>10435.0</v>
      </c>
      <c r="B436" s="8" t="s">
        <v>50</v>
      </c>
      <c r="C436" s="8" t="s">
        <v>51</v>
      </c>
      <c r="D436" s="26" t="s">
        <v>359</v>
      </c>
      <c r="E436" s="4" t="b">
        <f t="shared" si="1"/>
        <v>1</v>
      </c>
      <c r="F436" s="3">
        <f>IFERROR(__xludf.DUMMYFUNCTION("IF(COUNTIF($D$2:$D1000, D436)&gt;1, MATCH(D436, UNIQUE(FILTER($D$2:$D1000, COUNTIF($D$2:$D1000, $D$2:$D1000)&gt;1)), 0), """")"),35.0)</f>
        <v>35</v>
      </c>
      <c r="G436" s="8" t="s">
        <v>360</v>
      </c>
      <c r="H436" s="8" t="s">
        <v>361</v>
      </c>
      <c r="I436" s="8" t="s">
        <v>1416</v>
      </c>
      <c r="J436" s="8" t="s">
        <v>1417</v>
      </c>
    </row>
    <row r="437">
      <c r="A437" s="3">
        <v>10436.0</v>
      </c>
      <c r="B437" s="8" t="s">
        <v>50</v>
      </c>
      <c r="C437" s="8" t="s">
        <v>51</v>
      </c>
      <c r="D437" s="26" t="s">
        <v>342</v>
      </c>
      <c r="E437" s="4" t="b">
        <f t="shared" si="1"/>
        <v>1</v>
      </c>
      <c r="F437" s="3">
        <f>IFERROR(__xludf.DUMMYFUNCTION("IF(COUNTIF($D$2:$D1000, D437)&gt;1, MATCH(D437, UNIQUE(FILTER($D$2:$D1000, COUNTIF($D$2:$D1000, $D$2:$D1000)&gt;1)), 0), """")"),33.0)</f>
        <v>33</v>
      </c>
      <c r="G437" s="8" t="s">
        <v>343</v>
      </c>
      <c r="H437" s="8" t="s">
        <v>344</v>
      </c>
      <c r="I437" s="8" t="s">
        <v>1418</v>
      </c>
      <c r="J437" s="8" t="s">
        <v>1419</v>
      </c>
    </row>
    <row r="438">
      <c r="A438" s="3">
        <v>10437.0</v>
      </c>
      <c r="B438" s="8" t="s">
        <v>50</v>
      </c>
      <c r="C438" s="8" t="s">
        <v>51</v>
      </c>
      <c r="D438" s="26" t="s">
        <v>62</v>
      </c>
      <c r="E438" s="4" t="b">
        <f t="shared" si="1"/>
        <v>1</v>
      </c>
      <c r="F438" s="3">
        <f>IFERROR(__xludf.DUMMYFUNCTION("IF(COUNTIF($D$2:$D1000, D438)&gt;1, MATCH(D438, UNIQUE(FILTER($D$2:$D1000, COUNTIF($D$2:$D1000, $D$2:$D1000)&gt;1)), 0), """")"),10.0)</f>
        <v>10</v>
      </c>
      <c r="G438" s="8" t="s">
        <v>63</v>
      </c>
      <c r="H438" s="8" t="s">
        <v>64</v>
      </c>
      <c r="I438" s="8" t="s">
        <v>1420</v>
      </c>
      <c r="J438" s="8" t="s">
        <v>1421</v>
      </c>
    </row>
    <row r="439">
      <c r="A439" s="3">
        <v>10438.0</v>
      </c>
      <c r="B439" s="8" t="s">
        <v>50</v>
      </c>
      <c r="C439" s="8" t="s">
        <v>51</v>
      </c>
      <c r="D439" s="26" t="s">
        <v>1422</v>
      </c>
      <c r="E439" s="4" t="b">
        <f t="shared" si="1"/>
        <v>0</v>
      </c>
      <c r="F439" s="3" t="str">
        <f>IFERROR(__xludf.DUMMYFUNCTION("IF(COUNTIF($D$2:$D1000, D439)&gt;1, MATCH(D439, UNIQUE(FILTER($D$2:$D1000, COUNTIF($D$2:$D1000, $D$2:$D1000)&gt;1)), 0), """")"),"")</f>
        <v/>
      </c>
      <c r="G439" s="8" t="s">
        <v>1423</v>
      </c>
      <c r="H439" s="8" t="s">
        <v>1422</v>
      </c>
      <c r="I439" s="8" t="s">
        <v>1424</v>
      </c>
      <c r="J439" s="8" t="s">
        <v>1425</v>
      </c>
    </row>
    <row r="440">
      <c r="A440" s="3">
        <v>10439.0</v>
      </c>
      <c r="B440" s="8" t="s">
        <v>50</v>
      </c>
      <c r="C440" s="8" t="s">
        <v>51</v>
      </c>
      <c r="D440" s="26" t="s">
        <v>552</v>
      </c>
      <c r="E440" s="4" t="b">
        <f t="shared" si="1"/>
        <v>1</v>
      </c>
      <c r="F440" s="3">
        <f>IFERROR(__xludf.DUMMYFUNCTION("IF(COUNTIF($D$2:$D1000, D440)&gt;1, MATCH(D440, UNIQUE(FILTER($D$2:$D1000, COUNTIF($D$2:$D1000, $D$2:$D1000)&gt;1)), 0), """")"),57.0)</f>
        <v>57</v>
      </c>
      <c r="G440" s="8" t="s">
        <v>553</v>
      </c>
      <c r="H440" s="8" t="s">
        <v>554</v>
      </c>
      <c r="I440" s="8" t="s">
        <v>1426</v>
      </c>
      <c r="J440" s="8" t="s">
        <v>1427</v>
      </c>
    </row>
    <row r="441">
      <c r="A441" s="3">
        <v>10440.0</v>
      </c>
      <c r="B441" s="8" t="s">
        <v>50</v>
      </c>
      <c r="C441" s="8" t="s">
        <v>51</v>
      </c>
      <c r="D441" s="26" t="s">
        <v>559</v>
      </c>
      <c r="E441" s="4" t="b">
        <f t="shared" si="1"/>
        <v>1</v>
      </c>
      <c r="F441" s="3">
        <f>IFERROR(__xludf.DUMMYFUNCTION("IF(COUNTIF($D$2:$D1000, D441)&gt;1, MATCH(D441, UNIQUE(FILTER($D$2:$D1000, COUNTIF($D$2:$D1000, $D$2:$D1000)&gt;1)), 0), """")"),58.0)</f>
        <v>58</v>
      </c>
      <c r="G441" s="8" t="s">
        <v>560</v>
      </c>
      <c r="H441" s="8" t="s">
        <v>561</v>
      </c>
      <c r="I441" s="8" t="s">
        <v>1428</v>
      </c>
      <c r="J441" s="8" t="s">
        <v>1429</v>
      </c>
    </row>
    <row r="442">
      <c r="A442" s="3">
        <v>10441.0</v>
      </c>
      <c r="B442" s="8" t="s">
        <v>50</v>
      </c>
      <c r="C442" s="8" t="s">
        <v>51</v>
      </c>
      <c r="D442" s="26" t="s">
        <v>371</v>
      </c>
      <c r="E442" s="4" t="b">
        <f t="shared" si="1"/>
        <v>1</v>
      </c>
      <c r="F442" s="3">
        <f>IFERROR(__xludf.DUMMYFUNCTION("IF(COUNTIF($D$2:$D1000, D442)&gt;1, MATCH(D442, UNIQUE(FILTER($D$2:$D1000, COUNTIF($D$2:$D1000, $D$2:$D1000)&gt;1)), 0), """")"),37.0)</f>
        <v>37</v>
      </c>
      <c r="G442" s="8" t="s">
        <v>372</v>
      </c>
      <c r="H442" s="8" t="s">
        <v>373</v>
      </c>
      <c r="I442" s="8" t="s">
        <v>1430</v>
      </c>
      <c r="J442" s="8" t="s">
        <v>1431</v>
      </c>
    </row>
    <row r="443">
      <c r="A443" s="3">
        <v>10442.0</v>
      </c>
      <c r="B443" s="8" t="s">
        <v>50</v>
      </c>
      <c r="C443" s="8" t="s">
        <v>51</v>
      </c>
      <c r="D443" s="26" t="s">
        <v>616</v>
      </c>
      <c r="E443" s="4" t="b">
        <f t="shared" si="1"/>
        <v>1</v>
      </c>
      <c r="F443" s="3">
        <f>IFERROR(__xludf.DUMMYFUNCTION("IF(COUNTIF($D$2:$D1000, D443)&gt;1, MATCH(D443, UNIQUE(FILTER($D$2:$D1000, COUNTIF($D$2:$D1000, $D$2:$D1000)&gt;1)), 0), """")"),64.0)</f>
        <v>64</v>
      </c>
      <c r="G443" s="8" t="s">
        <v>1214</v>
      </c>
      <c r="H443" s="8" t="s">
        <v>1215</v>
      </c>
      <c r="I443" s="8" t="s">
        <v>1432</v>
      </c>
      <c r="J443" s="8" t="s">
        <v>1433</v>
      </c>
    </row>
    <row r="444">
      <c r="A444" s="3">
        <v>10443.0</v>
      </c>
      <c r="B444" s="8" t="s">
        <v>50</v>
      </c>
      <c r="C444" s="8" t="s">
        <v>51</v>
      </c>
      <c r="D444" s="26" t="s">
        <v>542</v>
      </c>
      <c r="E444" s="4" t="b">
        <f t="shared" si="1"/>
        <v>1</v>
      </c>
      <c r="F444" s="3">
        <f>IFERROR(__xludf.DUMMYFUNCTION("IF(COUNTIF($D$2:$D1000, D444)&gt;1, MATCH(D444, UNIQUE(FILTER($D$2:$D1000, COUNTIF($D$2:$D1000, $D$2:$D1000)&gt;1)), 0), """")"),55.0)</f>
        <v>55</v>
      </c>
      <c r="G444" s="8" t="s">
        <v>543</v>
      </c>
      <c r="H444" s="8" t="s">
        <v>544</v>
      </c>
      <c r="I444" s="8" t="s">
        <v>1434</v>
      </c>
      <c r="J444" s="8" t="s">
        <v>1435</v>
      </c>
    </row>
    <row r="445">
      <c r="A445" s="3">
        <v>10444.0</v>
      </c>
      <c r="B445" s="8" t="s">
        <v>50</v>
      </c>
      <c r="C445" s="8" t="s">
        <v>51</v>
      </c>
      <c r="D445" s="26" t="s">
        <v>366</v>
      </c>
      <c r="E445" s="4" t="b">
        <f t="shared" si="1"/>
        <v>1</v>
      </c>
      <c r="F445" s="3">
        <f>IFERROR(__xludf.DUMMYFUNCTION("IF(COUNTIF($D$2:$D1000, D445)&gt;1, MATCH(D445, UNIQUE(FILTER($D$2:$D1000, COUNTIF($D$2:$D1000, $D$2:$D1000)&gt;1)), 0), """")"),36.0)</f>
        <v>36</v>
      </c>
      <c r="G445" s="8" t="s">
        <v>367</v>
      </c>
      <c r="H445" s="8" t="s">
        <v>368</v>
      </c>
      <c r="I445" s="8" t="s">
        <v>1436</v>
      </c>
      <c r="J445" s="8" t="s">
        <v>1437</v>
      </c>
    </row>
    <row r="446">
      <c r="A446" s="3">
        <v>10445.0</v>
      </c>
      <c r="B446" s="8" t="s">
        <v>50</v>
      </c>
      <c r="C446" s="8" t="s">
        <v>51</v>
      </c>
      <c r="D446" s="26" t="s">
        <v>864</v>
      </c>
      <c r="E446" s="4" t="b">
        <f t="shared" si="1"/>
        <v>1</v>
      </c>
      <c r="F446" s="3">
        <f>IFERROR(__xludf.DUMMYFUNCTION("IF(COUNTIF($D$2:$D1000, D446)&gt;1, MATCH(D446, UNIQUE(FILTER($D$2:$D1000, COUNTIF($D$2:$D1000, $D$2:$D1000)&gt;1)), 0), """")"),82.0)</f>
        <v>82</v>
      </c>
      <c r="G446" s="8" t="s">
        <v>382</v>
      </c>
      <c r="H446" s="8" t="s">
        <v>383</v>
      </c>
      <c r="I446" s="8" t="s">
        <v>1438</v>
      </c>
      <c r="J446" s="8" t="s">
        <v>1439</v>
      </c>
    </row>
    <row r="447">
      <c r="A447" s="3">
        <v>10446.0</v>
      </c>
      <c r="B447" s="8" t="s">
        <v>50</v>
      </c>
      <c r="C447" s="8" t="s">
        <v>51</v>
      </c>
      <c r="D447" s="26" t="s">
        <v>1226</v>
      </c>
      <c r="E447" s="4" t="b">
        <f t="shared" si="1"/>
        <v>1</v>
      </c>
      <c r="F447" s="3">
        <f>IFERROR(__xludf.DUMMYFUNCTION("IF(COUNTIF($D$2:$D1000, D447)&gt;1, MATCH(D447, UNIQUE(FILTER($D$2:$D1000, COUNTIF($D$2:$D1000, $D$2:$D1000)&gt;1)), 0), """")"),91.0)</f>
        <v>91</v>
      </c>
      <c r="G447" s="8" t="s">
        <v>1227</v>
      </c>
      <c r="H447" s="8" t="s">
        <v>1228</v>
      </c>
      <c r="I447" s="8" t="s">
        <v>1440</v>
      </c>
      <c r="J447" s="8" t="s">
        <v>1441</v>
      </c>
    </row>
    <row r="448">
      <c r="A448" s="3">
        <v>10447.0</v>
      </c>
      <c r="B448" s="8" t="s">
        <v>50</v>
      </c>
      <c r="C448" s="8" t="s">
        <v>51</v>
      </c>
      <c r="D448" s="26" t="s">
        <v>574</v>
      </c>
      <c r="E448" s="4" t="b">
        <f t="shared" si="1"/>
        <v>1</v>
      </c>
      <c r="F448" s="3">
        <f>IFERROR(__xludf.DUMMYFUNCTION("IF(COUNTIF($D$2:$D1000, D448)&gt;1, MATCH(D448, UNIQUE(FILTER($D$2:$D1000, COUNTIF($D$2:$D1000, $D$2:$D1000)&gt;1)), 0), """")"),61.0)</f>
        <v>61</v>
      </c>
      <c r="G448" s="8" t="s">
        <v>575</v>
      </c>
      <c r="H448" s="8" t="s">
        <v>576</v>
      </c>
      <c r="I448" s="8" t="s">
        <v>1442</v>
      </c>
      <c r="J448" s="8" t="s">
        <v>1443</v>
      </c>
    </row>
    <row r="449">
      <c r="A449" s="3">
        <v>10448.0</v>
      </c>
      <c r="B449" s="8" t="s">
        <v>302</v>
      </c>
      <c r="C449" s="8" t="s">
        <v>303</v>
      </c>
      <c r="D449" s="26" t="s">
        <v>484</v>
      </c>
      <c r="E449" s="4" t="b">
        <f t="shared" si="1"/>
        <v>1</v>
      </c>
      <c r="F449" s="3">
        <f>IFERROR(__xludf.DUMMYFUNCTION("IF(COUNTIF($D$2:$D1000, D449)&gt;1, MATCH(D449, UNIQUE(FILTER($D$2:$D1000, COUNTIF($D$2:$D1000, $D$2:$D1000)&gt;1)), 0), """")"),48.0)</f>
        <v>48</v>
      </c>
      <c r="G449" s="8" t="s">
        <v>485</v>
      </c>
      <c r="H449" s="8" t="s">
        <v>484</v>
      </c>
      <c r="I449" s="8" t="s">
        <v>1444</v>
      </c>
      <c r="J449" s="8" t="s">
        <v>1445</v>
      </c>
    </row>
    <row r="450">
      <c r="A450" s="3">
        <v>10449.0</v>
      </c>
      <c r="B450" s="8" t="s">
        <v>302</v>
      </c>
      <c r="C450" s="8" t="s">
        <v>303</v>
      </c>
      <c r="D450" s="26" t="s">
        <v>304</v>
      </c>
      <c r="E450" s="4" t="b">
        <f t="shared" si="1"/>
        <v>1</v>
      </c>
      <c r="F450" s="3">
        <f>IFERROR(__xludf.DUMMYFUNCTION("IF(COUNTIF($D$2:$D1000, D450)&gt;1, MATCH(D450, UNIQUE(FILTER($D$2:$D1000, COUNTIF($D$2:$D1000, $D$2:$D1000)&gt;1)), 0), """")"),27.0)</f>
        <v>27</v>
      </c>
      <c r="G450" s="8" t="s">
        <v>305</v>
      </c>
      <c r="H450" s="8" t="s">
        <v>304</v>
      </c>
      <c r="I450" s="8" t="s">
        <v>1446</v>
      </c>
      <c r="J450" s="8" t="s">
        <v>1447</v>
      </c>
    </row>
    <row r="451">
      <c r="A451" s="3">
        <v>10450.0</v>
      </c>
      <c r="B451" s="8" t="s">
        <v>302</v>
      </c>
      <c r="C451" s="8" t="s">
        <v>303</v>
      </c>
      <c r="D451" s="26" t="s">
        <v>513</v>
      </c>
      <c r="E451" s="4" t="b">
        <f t="shared" si="1"/>
        <v>1</v>
      </c>
      <c r="F451" s="3">
        <f>IFERROR(__xludf.DUMMYFUNCTION("IF(COUNTIF($D$2:$D1000, D451)&gt;1, MATCH(D451, UNIQUE(FILTER($D$2:$D1000, COUNTIF($D$2:$D1000, $D$2:$D1000)&gt;1)), 0), """")"),51.0)</f>
        <v>51</v>
      </c>
      <c r="G451" s="8" t="s">
        <v>514</v>
      </c>
      <c r="H451" s="8" t="s">
        <v>515</v>
      </c>
      <c r="I451" s="8" t="s">
        <v>1448</v>
      </c>
      <c r="J451" s="8" t="s">
        <v>1449</v>
      </c>
    </row>
    <row r="452">
      <c r="A452" s="3">
        <v>10451.0</v>
      </c>
      <c r="B452" s="8" t="s">
        <v>302</v>
      </c>
      <c r="C452" s="8" t="s">
        <v>303</v>
      </c>
      <c r="D452" s="26" t="s">
        <v>648</v>
      </c>
      <c r="E452" s="4" t="b">
        <f t="shared" si="1"/>
        <v>1</v>
      </c>
      <c r="F452" s="3">
        <f>IFERROR(__xludf.DUMMYFUNCTION("IF(COUNTIF($D$2:$D1000, D452)&gt;1, MATCH(D452, UNIQUE(FILTER($D$2:$D1000, COUNTIF($D$2:$D1000, $D$2:$D1000)&gt;1)), 0), """")"),67.0)</f>
        <v>67</v>
      </c>
      <c r="G452" s="8" t="s">
        <v>649</v>
      </c>
      <c r="H452" s="8" t="s">
        <v>648</v>
      </c>
      <c r="I452" s="8" t="s">
        <v>1450</v>
      </c>
      <c r="J452" s="8" t="s">
        <v>1451</v>
      </c>
    </row>
    <row r="453">
      <c r="A453" s="3">
        <v>10452.0</v>
      </c>
      <c r="B453" s="8" t="s">
        <v>302</v>
      </c>
      <c r="C453" s="8" t="s">
        <v>303</v>
      </c>
      <c r="D453" s="26" t="s">
        <v>410</v>
      </c>
      <c r="E453" s="4" t="b">
        <f t="shared" si="1"/>
        <v>1</v>
      </c>
      <c r="F453" s="3">
        <f>IFERROR(__xludf.DUMMYFUNCTION("IF(COUNTIF($D$2:$D1000, D453)&gt;1, MATCH(D453, UNIQUE(FILTER($D$2:$D1000, COUNTIF($D$2:$D1000, $D$2:$D1000)&gt;1)), 0), """")"),43.0)</f>
        <v>43</v>
      </c>
      <c r="G453" s="8" t="s">
        <v>411</v>
      </c>
      <c r="H453" s="8" t="s">
        <v>410</v>
      </c>
      <c r="I453" s="8" t="s">
        <v>1452</v>
      </c>
      <c r="J453" s="8" t="s">
        <v>1453</v>
      </c>
    </row>
    <row r="454">
      <c r="A454" s="3">
        <v>10453.0</v>
      </c>
      <c r="B454" s="8" t="s">
        <v>302</v>
      </c>
      <c r="C454" s="8" t="s">
        <v>303</v>
      </c>
      <c r="D454" s="26" t="s">
        <v>399</v>
      </c>
      <c r="E454" s="4" t="b">
        <f t="shared" si="1"/>
        <v>1</v>
      </c>
      <c r="F454" s="3">
        <f>IFERROR(__xludf.DUMMYFUNCTION("IF(COUNTIF($D$2:$D1000, D454)&gt;1, MATCH(D454, UNIQUE(FILTER($D$2:$D1000, COUNTIF($D$2:$D1000, $D$2:$D1000)&gt;1)), 0), """")"),41.0)</f>
        <v>41</v>
      </c>
      <c r="G454" s="8" t="s">
        <v>400</v>
      </c>
      <c r="H454" s="8" t="s">
        <v>399</v>
      </c>
      <c r="I454" s="8" t="s">
        <v>1454</v>
      </c>
      <c r="J454" s="8" t="s">
        <v>1455</v>
      </c>
    </row>
    <row r="455">
      <c r="A455" s="3">
        <v>10454.0</v>
      </c>
      <c r="B455" s="8" t="s">
        <v>302</v>
      </c>
      <c r="C455" s="8" t="s">
        <v>303</v>
      </c>
      <c r="D455" s="26" t="s">
        <v>45</v>
      </c>
      <c r="E455" s="4" t="b">
        <f t="shared" si="1"/>
        <v>1</v>
      </c>
      <c r="F455" s="3">
        <f>IFERROR(__xludf.DUMMYFUNCTION("IF(COUNTIF($D$2:$D1000, D455)&gt;1, MATCH(D455, UNIQUE(FILTER($D$2:$D1000, COUNTIF($D$2:$D1000, $D$2:$D1000)&gt;1)), 0), """")"),8.0)</f>
        <v>8</v>
      </c>
      <c r="G455" s="8" t="s">
        <v>46</v>
      </c>
      <c r="H455" s="8" t="s">
        <v>47</v>
      </c>
      <c r="I455" s="8" t="s">
        <v>1456</v>
      </c>
      <c r="J455" s="8" t="s">
        <v>1457</v>
      </c>
    </row>
    <row r="456">
      <c r="A456" s="3">
        <v>10455.0</v>
      </c>
      <c r="B456" s="8" t="s">
        <v>302</v>
      </c>
      <c r="C456" s="8" t="s">
        <v>303</v>
      </c>
      <c r="D456" s="26" t="s">
        <v>25</v>
      </c>
      <c r="E456" s="4" t="b">
        <f t="shared" si="1"/>
        <v>1</v>
      </c>
      <c r="F456" s="3">
        <f>IFERROR(__xludf.DUMMYFUNCTION("IF(COUNTIF($D$2:$D1000, D456)&gt;1, MATCH(D456, UNIQUE(FILTER($D$2:$D1000, COUNTIF($D$2:$D1000, $D$2:$D1000)&gt;1)), 0), """")"),4.0)</f>
        <v>4</v>
      </c>
      <c r="G456" s="8" t="s">
        <v>26</v>
      </c>
      <c r="H456" s="8" t="s">
        <v>27</v>
      </c>
      <c r="I456" s="8" t="s">
        <v>1458</v>
      </c>
      <c r="J456" s="8" t="s">
        <v>1459</v>
      </c>
    </row>
    <row r="457">
      <c r="A457" s="3">
        <v>10456.0</v>
      </c>
      <c r="B457" s="8" t="s">
        <v>302</v>
      </c>
      <c r="C457" s="8" t="s">
        <v>303</v>
      </c>
      <c r="D457" s="26" t="s">
        <v>62</v>
      </c>
      <c r="E457" s="4" t="b">
        <f t="shared" si="1"/>
        <v>1</v>
      </c>
      <c r="F457" s="3">
        <f>IFERROR(__xludf.DUMMYFUNCTION("IF(COUNTIF($D$2:$D1000, D457)&gt;1, MATCH(D457, UNIQUE(FILTER($D$2:$D1000, COUNTIF($D$2:$D1000, $D$2:$D1000)&gt;1)), 0), """")"),10.0)</f>
        <v>10</v>
      </c>
      <c r="G457" s="8" t="s">
        <v>63</v>
      </c>
      <c r="H457" s="8" t="s">
        <v>64</v>
      </c>
      <c r="I457" s="8" t="s">
        <v>1460</v>
      </c>
      <c r="J457" s="8" t="s">
        <v>1461</v>
      </c>
    </row>
    <row r="458">
      <c r="A458" s="3">
        <v>10457.0</v>
      </c>
      <c r="B458" s="8" t="s">
        <v>302</v>
      </c>
      <c r="C458" s="8" t="s">
        <v>303</v>
      </c>
      <c r="D458" s="26" t="s">
        <v>376</v>
      </c>
      <c r="E458" s="4" t="b">
        <f t="shared" si="1"/>
        <v>1</v>
      </c>
      <c r="F458" s="3">
        <f>IFERROR(__xludf.DUMMYFUNCTION("IF(COUNTIF($D$2:$D1000, D458)&gt;1, MATCH(D458, UNIQUE(FILTER($D$2:$D1000, COUNTIF($D$2:$D1000, $D$2:$D1000)&gt;1)), 0), """")"),38.0)</f>
        <v>38</v>
      </c>
      <c r="G458" s="8" t="s">
        <v>377</v>
      </c>
      <c r="H458" s="8" t="s">
        <v>378</v>
      </c>
      <c r="I458" s="8" t="s">
        <v>1462</v>
      </c>
      <c r="J458" s="8" t="s">
        <v>1463</v>
      </c>
    </row>
    <row r="459">
      <c r="A459" s="3">
        <v>10458.0</v>
      </c>
      <c r="B459" s="8" t="s">
        <v>302</v>
      </c>
      <c r="C459" s="8" t="s">
        <v>303</v>
      </c>
      <c r="D459" s="26" t="s">
        <v>52</v>
      </c>
      <c r="E459" s="4" t="b">
        <f t="shared" si="1"/>
        <v>1</v>
      </c>
      <c r="F459" s="3">
        <f>IFERROR(__xludf.DUMMYFUNCTION("IF(COUNTIF($D$2:$D1000, D459)&gt;1, MATCH(D459, UNIQUE(FILTER($D$2:$D1000, COUNTIF($D$2:$D1000, $D$2:$D1000)&gt;1)), 0), """")"),9.0)</f>
        <v>9</v>
      </c>
      <c r="G459" s="8" t="s">
        <v>53</v>
      </c>
      <c r="H459" s="8" t="s">
        <v>54</v>
      </c>
      <c r="I459" s="8" t="s">
        <v>1464</v>
      </c>
      <c r="J459" s="8" t="s">
        <v>1465</v>
      </c>
    </row>
    <row r="460">
      <c r="A460" s="3">
        <v>10459.0</v>
      </c>
      <c r="B460" s="8" t="s">
        <v>302</v>
      </c>
      <c r="C460" s="8" t="s">
        <v>303</v>
      </c>
      <c r="D460" s="26" t="s">
        <v>663</v>
      </c>
      <c r="E460" s="4" t="b">
        <f t="shared" si="1"/>
        <v>1</v>
      </c>
      <c r="F460" s="3">
        <f>IFERROR(__xludf.DUMMYFUNCTION("IF(COUNTIF($D$2:$D1000, D460)&gt;1, MATCH(D460, UNIQUE(FILTER($D$2:$D1000, COUNTIF($D$2:$D1000, $D$2:$D1000)&gt;1)), 0), """")"),68.0)</f>
        <v>68</v>
      </c>
      <c r="G460" s="8" t="s">
        <v>664</v>
      </c>
      <c r="H460" s="8" t="s">
        <v>663</v>
      </c>
      <c r="I460" s="8" t="s">
        <v>1466</v>
      </c>
      <c r="J460" s="8" t="s">
        <v>1467</v>
      </c>
    </row>
    <row r="461">
      <c r="A461" s="3">
        <v>10460.0</v>
      </c>
      <c r="B461" s="8" t="s">
        <v>302</v>
      </c>
      <c r="C461" s="8" t="s">
        <v>303</v>
      </c>
      <c r="D461" s="26" t="s">
        <v>347</v>
      </c>
      <c r="E461" s="4" t="b">
        <f t="shared" si="1"/>
        <v>1</v>
      </c>
      <c r="F461" s="3">
        <f>IFERROR(__xludf.DUMMYFUNCTION("IF(COUNTIF($D$2:$D1000, D461)&gt;1, MATCH(D461, UNIQUE(FILTER($D$2:$D1000, COUNTIF($D$2:$D1000, $D$2:$D1000)&gt;1)), 0), """")"),34.0)</f>
        <v>34</v>
      </c>
      <c r="G461" s="11" t="s">
        <v>348</v>
      </c>
      <c r="H461" s="12" t="s">
        <v>349</v>
      </c>
      <c r="I461" s="8" t="s">
        <v>1468</v>
      </c>
      <c r="J461" s="8" t="s">
        <v>1469</v>
      </c>
    </row>
    <row r="462">
      <c r="A462" s="3">
        <v>10461.0</v>
      </c>
      <c r="B462" s="8" t="s">
        <v>308</v>
      </c>
      <c r="C462" s="8" t="s">
        <v>309</v>
      </c>
      <c r="D462" s="26" t="s">
        <v>423</v>
      </c>
      <c r="E462" s="4" t="b">
        <f t="shared" si="1"/>
        <v>1</v>
      </c>
      <c r="F462" s="3">
        <f>IFERROR(__xludf.DUMMYFUNCTION("IF(COUNTIF($D$2:$D1000, D462)&gt;1, MATCH(D462, UNIQUE(FILTER($D$2:$D1000, COUNTIF($D$2:$D1000, $D$2:$D1000)&gt;1)), 0), """")"),44.0)</f>
        <v>44</v>
      </c>
      <c r="G462" s="8" t="s">
        <v>424</v>
      </c>
      <c r="H462" s="8" t="s">
        <v>425</v>
      </c>
      <c r="I462" s="8" t="s">
        <v>1470</v>
      </c>
      <c r="J462" s="8" t="s">
        <v>1471</v>
      </c>
    </row>
    <row r="463">
      <c r="A463" s="3">
        <v>10462.0</v>
      </c>
      <c r="B463" s="8" t="s">
        <v>308</v>
      </c>
      <c r="C463" s="8" t="s">
        <v>309</v>
      </c>
      <c r="D463" s="26" t="s">
        <v>268</v>
      </c>
      <c r="E463" s="4" t="b">
        <f t="shared" si="1"/>
        <v>1</v>
      </c>
      <c r="F463" s="3">
        <f>IFERROR(__xludf.DUMMYFUNCTION("IF(COUNTIF($D$2:$D1000, D463)&gt;1, MATCH(D463, UNIQUE(FILTER($D$2:$D1000, COUNTIF($D$2:$D1000, $D$2:$D1000)&gt;1)), 0), """")"),24.0)</f>
        <v>24</v>
      </c>
      <c r="G463" s="8" t="s">
        <v>269</v>
      </c>
      <c r="H463" s="8" t="s">
        <v>270</v>
      </c>
      <c r="I463" s="8" t="s">
        <v>1472</v>
      </c>
      <c r="J463" s="8" t="s">
        <v>1473</v>
      </c>
    </row>
    <row r="464">
      <c r="A464" s="3">
        <v>10463.0</v>
      </c>
      <c r="B464" s="8" t="s">
        <v>308</v>
      </c>
      <c r="C464" s="8" t="s">
        <v>309</v>
      </c>
      <c r="D464" s="26" t="s">
        <v>213</v>
      </c>
      <c r="E464" s="4" t="b">
        <f t="shared" si="1"/>
        <v>1</v>
      </c>
      <c r="F464" s="3">
        <f>IFERROR(__xludf.DUMMYFUNCTION("IF(COUNTIF($D$2:$D1000, D464)&gt;1, MATCH(D464, UNIQUE(FILTER($D$2:$D1000, COUNTIF($D$2:$D1000, $D$2:$D1000)&gt;1)), 0), """")"),21.0)</f>
        <v>21</v>
      </c>
      <c r="G464" s="8" t="s">
        <v>214</v>
      </c>
      <c r="H464" s="8" t="s">
        <v>215</v>
      </c>
      <c r="I464" s="8" t="s">
        <v>1474</v>
      </c>
      <c r="J464" s="8" t="s">
        <v>1475</v>
      </c>
    </row>
    <row r="465">
      <c r="A465" s="3">
        <v>10464.0</v>
      </c>
      <c r="B465" s="8" t="s">
        <v>308</v>
      </c>
      <c r="C465" s="8" t="s">
        <v>309</v>
      </c>
      <c r="D465" s="26" t="s">
        <v>403</v>
      </c>
      <c r="E465" s="4" t="b">
        <f t="shared" si="1"/>
        <v>1</v>
      </c>
      <c r="F465" s="3">
        <f>IFERROR(__xludf.DUMMYFUNCTION("IF(COUNTIF($D$2:$D1000, D465)&gt;1, MATCH(D465, UNIQUE(FILTER($D$2:$D1000, COUNTIF($D$2:$D1000, $D$2:$D1000)&gt;1)), 0), """")"),42.0)</f>
        <v>42</v>
      </c>
      <c r="G465" s="8" t="s">
        <v>404</v>
      </c>
      <c r="H465" s="8" t="s">
        <v>405</v>
      </c>
      <c r="I465" s="8" t="s">
        <v>1476</v>
      </c>
      <c r="J465" s="8" t="s">
        <v>1477</v>
      </c>
    </row>
    <row r="466">
      <c r="A466" s="3">
        <v>10465.0</v>
      </c>
      <c r="B466" s="8" t="s">
        <v>308</v>
      </c>
      <c r="C466" s="8" t="s">
        <v>309</v>
      </c>
      <c r="D466" s="26" t="s">
        <v>430</v>
      </c>
      <c r="E466" s="4" t="b">
        <f t="shared" si="1"/>
        <v>1</v>
      </c>
      <c r="F466" s="3">
        <f>IFERROR(__xludf.DUMMYFUNCTION("IF(COUNTIF($D$2:$D1000, D466)&gt;1, MATCH(D466, UNIQUE(FILTER($D$2:$D1000, COUNTIF($D$2:$D1000, $D$2:$D1000)&gt;1)), 0), """")"),45.0)</f>
        <v>45</v>
      </c>
      <c r="G466" s="8" t="s">
        <v>431</v>
      </c>
      <c r="H466" s="8" t="s">
        <v>432</v>
      </c>
      <c r="I466" s="8" t="s">
        <v>1478</v>
      </c>
      <c r="J466" s="8" t="s">
        <v>1479</v>
      </c>
    </row>
    <row r="467">
      <c r="A467" s="3">
        <v>10466.0</v>
      </c>
      <c r="B467" s="8" t="s">
        <v>308</v>
      </c>
      <c r="C467" s="8" t="s">
        <v>309</v>
      </c>
      <c r="D467" s="26" t="s">
        <v>101</v>
      </c>
      <c r="E467" s="4" t="b">
        <f t="shared" si="1"/>
        <v>1</v>
      </c>
      <c r="F467" s="3">
        <f>IFERROR(__xludf.DUMMYFUNCTION("IF(COUNTIF($D$2:$D1000, D467)&gt;1, MATCH(D467, UNIQUE(FILTER($D$2:$D1000, COUNTIF($D$2:$D1000, $D$2:$D1000)&gt;1)), 0), """")"),15.0)</f>
        <v>15</v>
      </c>
      <c r="G467" s="8" t="s">
        <v>102</v>
      </c>
      <c r="H467" s="8" t="s">
        <v>103</v>
      </c>
      <c r="I467" s="8" t="s">
        <v>1480</v>
      </c>
      <c r="J467" s="8" t="s">
        <v>1481</v>
      </c>
    </row>
    <row r="468">
      <c r="A468" s="3">
        <v>10467.0</v>
      </c>
      <c r="B468" s="8" t="s">
        <v>308</v>
      </c>
      <c r="C468" s="8" t="s">
        <v>309</v>
      </c>
      <c r="D468" s="26" t="s">
        <v>123</v>
      </c>
      <c r="E468" s="4" t="b">
        <f t="shared" si="1"/>
        <v>1</v>
      </c>
      <c r="F468" s="3">
        <f>IFERROR(__xludf.DUMMYFUNCTION("IF(COUNTIF($D$2:$D1000, D468)&gt;1, MATCH(D468, UNIQUE(FILTER($D$2:$D1000, COUNTIF($D$2:$D1000, $D$2:$D1000)&gt;1)), 0), """")"),17.0)</f>
        <v>17</v>
      </c>
      <c r="G468" s="8" t="s">
        <v>124</v>
      </c>
      <c r="H468" s="8" t="s">
        <v>125</v>
      </c>
      <c r="I468" s="8" t="s">
        <v>1482</v>
      </c>
      <c r="J468" s="8" t="s">
        <v>277</v>
      </c>
    </row>
    <row r="469">
      <c r="A469" s="3">
        <v>10468.0</v>
      </c>
      <c r="B469" s="8" t="s">
        <v>308</v>
      </c>
      <c r="C469" s="8" t="s">
        <v>309</v>
      </c>
      <c r="D469" s="26" t="s">
        <v>388</v>
      </c>
      <c r="E469" s="4" t="b">
        <f t="shared" si="1"/>
        <v>1</v>
      </c>
      <c r="F469" s="3">
        <f>IFERROR(__xludf.DUMMYFUNCTION("IF(COUNTIF($D$2:$D1000, D469)&gt;1, MATCH(D469, UNIQUE(FILTER($D$2:$D1000, COUNTIF($D$2:$D1000, $D$2:$D1000)&gt;1)), 0), """")"),39.0)</f>
        <v>39</v>
      </c>
      <c r="G469" s="8" t="s">
        <v>389</v>
      </c>
      <c r="H469" s="8" t="s">
        <v>390</v>
      </c>
      <c r="I469" s="8" t="s">
        <v>1483</v>
      </c>
      <c r="J469" s="8" t="s">
        <v>1484</v>
      </c>
    </row>
    <row r="470">
      <c r="A470" s="3">
        <v>10469.0</v>
      </c>
      <c r="B470" s="8" t="s">
        <v>308</v>
      </c>
      <c r="C470" s="8" t="s">
        <v>309</v>
      </c>
      <c r="D470" s="26" t="s">
        <v>278</v>
      </c>
      <c r="E470" s="4" t="b">
        <f t="shared" si="1"/>
        <v>1</v>
      </c>
      <c r="F470" s="3">
        <f>IFERROR(__xludf.DUMMYFUNCTION("IF(COUNTIF($D$2:$D1000, D470)&gt;1, MATCH(D470, UNIQUE(FILTER($D$2:$D1000, COUNTIF($D$2:$D1000, $D$2:$D1000)&gt;1)), 0), """")"),25.0)</f>
        <v>25</v>
      </c>
      <c r="G470" s="8" t="s">
        <v>279</v>
      </c>
      <c r="H470" s="8" t="s">
        <v>1306</v>
      </c>
      <c r="I470" s="8" t="s">
        <v>1485</v>
      </c>
      <c r="J470" s="8" t="s">
        <v>1486</v>
      </c>
    </row>
    <row r="471">
      <c r="A471" s="3">
        <v>10470.0</v>
      </c>
      <c r="B471" s="8" t="s">
        <v>308</v>
      </c>
      <c r="C471" s="8" t="s">
        <v>309</v>
      </c>
      <c r="D471" s="26" t="s">
        <v>1042</v>
      </c>
      <c r="E471" s="4" t="b">
        <f t="shared" si="1"/>
        <v>1</v>
      </c>
      <c r="F471" s="3">
        <f>IFERROR(__xludf.DUMMYFUNCTION("IF(COUNTIF($D$2:$D1000, D471)&gt;1, MATCH(D471, UNIQUE(FILTER($D$2:$D1000, COUNTIF($D$2:$D1000, $D$2:$D1000)&gt;1)), 0), """")"),88.0)</f>
        <v>88</v>
      </c>
      <c r="G471" s="8" t="s">
        <v>1043</v>
      </c>
      <c r="H471" s="8" t="s">
        <v>1044</v>
      </c>
      <c r="I471" s="8" t="s">
        <v>1487</v>
      </c>
      <c r="J471" s="8" t="s">
        <v>1488</v>
      </c>
    </row>
    <row r="472">
      <c r="A472" s="3">
        <v>10471.0</v>
      </c>
      <c r="B472" s="8" t="s">
        <v>308</v>
      </c>
      <c r="C472" s="8" t="s">
        <v>309</v>
      </c>
      <c r="D472" s="26" t="s">
        <v>1023</v>
      </c>
      <c r="E472" s="4" t="b">
        <f t="shared" si="1"/>
        <v>1</v>
      </c>
      <c r="F472" s="3">
        <f>IFERROR(__xludf.DUMMYFUNCTION("IF(COUNTIF($D$2:$D1000, D472)&gt;1, MATCH(D472, UNIQUE(FILTER($D$2:$D1000, COUNTIF($D$2:$D1000, $D$2:$D1000)&gt;1)), 0), """")"),87.0)</f>
        <v>87</v>
      </c>
      <c r="G472" s="8" t="s">
        <v>1024</v>
      </c>
      <c r="H472" s="8" t="s">
        <v>1025</v>
      </c>
      <c r="I472" s="8" t="s">
        <v>1489</v>
      </c>
      <c r="J472" s="8" t="s">
        <v>1490</v>
      </c>
    </row>
    <row r="473">
      <c r="A473" s="3">
        <v>10472.0</v>
      </c>
      <c r="B473" s="8" t="s">
        <v>308</v>
      </c>
      <c r="C473" s="8" t="s">
        <v>309</v>
      </c>
      <c r="D473" s="26" t="s">
        <v>35</v>
      </c>
      <c r="E473" s="4" t="b">
        <f t="shared" si="1"/>
        <v>1</v>
      </c>
      <c r="F473" s="3">
        <f>IFERROR(__xludf.DUMMYFUNCTION("IF(COUNTIF($D$2:$D1000, D473)&gt;1, MATCH(D473, UNIQUE(FILTER($D$2:$D1000, COUNTIF($D$2:$D1000, $D$2:$D1000)&gt;1)), 0), """")"),6.0)</f>
        <v>6</v>
      </c>
      <c r="G473" s="8" t="s">
        <v>36</v>
      </c>
      <c r="H473" s="8" t="s">
        <v>37</v>
      </c>
      <c r="I473" s="8" t="s">
        <v>1491</v>
      </c>
      <c r="J473" s="8" t="s">
        <v>1492</v>
      </c>
    </row>
    <row r="474">
      <c r="A474" s="3">
        <v>10473.0</v>
      </c>
      <c r="B474" s="8" t="s">
        <v>308</v>
      </c>
      <c r="C474" s="8" t="s">
        <v>309</v>
      </c>
      <c r="D474" s="26" t="s">
        <v>695</v>
      </c>
      <c r="E474" s="4" t="b">
        <f t="shared" si="1"/>
        <v>1</v>
      </c>
      <c r="F474" s="3">
        <f>IFERROR(__xludf.DUMMYFUNCTION("IF(COUNTIF($D$2:$D1000, D474)&gt;1, MATCH(D474, UNIQUE(FILTER($D$2:$D1000, COUNTIF($D$2:$D1000, $D$2:$D1000)&gt;1)), 0), """")"),70.0)</f>
        <v>70</v>
      </c>
      <c r="G474" s="8" t="s">
        <v>417</v>
      </c>
      <c r="H474" s="8" t="s">
        <v>418</v>
      </c>
      <c r="I474" s="8" t="s">
        <v>1493</v>
      </c>
      <c r="J474" s="8" t="s">
        <v>1494</v>
      </c>
    </row>
    <row r="475">
      <c r="A475" s="3">
        <v>10474.0</v>
      </c>
      <c r="B475" s="8" t="s">
        <v>308</v>
      </c>
      <c r="C475" s="8" t="s">
        <v>309</v>
      </c>
      <c r="D475" s="26" t="s">
        <v>698</v>
      </c>
      <c r="E475" s="4" t="b">
        <f t="shared" si="1"/>
        <v>1</v>
      </c>
      <c r="F475" s="3">
        <f>IFERROR(__xludf.DUMMYFUNCTION("IF(COUNTIF($D$2:$D1000, D475)&gt;1, MATCH(D475, UNIQUE(FILTER($D$2:$D1000, COUNTIF($D$2:$D1000, $D$2:$D1000)&gt;1)), 0), """")"),71.0)</f>
        <v>71</v>
      </c>
      <c r="G475" s="8" t="s">
        <v>699</v>
      </c>
      <c r="H475" s="8" t="s">
        <v>700</v>
      </c>
      <c r="I475" s="8" t="s">
        <v>1495</v>
      </c>
      <c r="J475" s="8" t="s">
        <v>1496</v>
      </c>
    </row>
    <row r="476">
      <c r="A476" s="3">
        <v>10475.0</v>
      </c>
      <c r="B476" s="8" t="s">
        <v>312</v>
      </c>
      <c r="C476" s="8" t="s">
        <v>313</v>
      </c>
      <c r="D476" s="26" t="s">
        <v>45</v>
      </c>
      <c r="E476" s="4" t="b">
        <f t="shared" si="1"/>
        <v>1</v>
      </c>
      <c r="F476" s="3">
        <f>IFERROR(__xludf.DUMMYFUNCTION("IF(COUNTIF($D$2:$D1000, D476)&gt;1, MATCH(D476, UNIQUE(FILTER($D$2:$D1000, COUNTIF($D$2:$D1000, $D$2:$D1000)&gt;1)), 0), """")"),8.0)</f>
        <v>8</v>
      </c>
      <c r="G476" s="8" t="s">
        <v>46</v>
      </c>
      <c r="H476" s="8" t="s">
        <v>47</v>
      </c>
      <c r="I476" s="8" t="s">
        <v>1497</v>
      </c>
      <c r="J476" s="8" t="s">
        <v>1498</v>
      </c>
    </row>
    <row r="477">
      <c r="A477" s="3">
        <v>10476.0</v>
      </c>
      <c r="B477" s="8" t="s">
        <v>312</v>
      </c>
      <c r="C477" s="8" t="s">
        <v>313</v>
      </c>
      <c r="D477" s="26" t="s">
        <v>376</v>
      </c>
      <c r="E477" s="4" t="b">
        <f t="shared" si="1"/>
        <v>1</v>
      </c>
      <c r="F477" s="3">
        <f>IFERROR(__xludf.DUMMYFUNCTION("IF(COUNTIF($D$2:$D1000, D477)&gt;1, MATCH(D477, UNIQUE(FILTER($D$2:$D1000, COUNTIF($D$2:$D1000, $D$2:$D1000)&gt;1)), 0), """")"),38.0)</f>
        <v>38</v>
      </c>
      <c r="G477" s="8" t="s">
        <v>377</v>
      </c>
      <c r="H477" s="8" t="s">
        <v>378</v>
      </c>
      <c r="I477" s="8" t="s">
        <v>1499</v>
      </c>
      <c r="J477" s="8" t="s">
        <v>1500</v>
      </c>
    </row>
    <row r="478">
      <c r="A478" s="3">
        <v>10477.0</v>
      </c>
      <c r="B478" s="8" t="s">
        <v>312</v>
      </c>
      <c r="C478" s="8" t="s">
        <v>313</v>
      </c>
      <c r="D478" s="26" t="s">
        <v>452</v>
      </c>
      <c r="E478" s="4" t="b">
        <f t="shared" si="1"/>
        <v>1</v>
      </c>
      <c r="F478" s="3">
        <f>IFERROR(__xludf.DUMMYFUNCTION("IF(COUNTIF($D$2:$D1000, D478)&gt;1, MATCH(D478, UNIQUE(FILTER($D$2:$D1000, COUNTIF($D$2:$D1000, $D$2:$D1000)&gt;1)), 0), """")"),46.0)</f>
        <v>46</v>
      </c>
      <c r="G478" s="8" t="s">
        <v>453</v>
      </c>
      <c r="H478" s="8" t="s">
        <v>454</v>
      </c>
      <c r="I478" s="8" t="s">
        <v>1501</v>
      </c>
      <c r="J478" s="8" t="s">
        <v>1502</v>
      </c>
    </row>
    <row r="479">
      <c r="A479" s="3">
        <v>10478.0</v>
      </c>
      <c r="B479" s="8" t="s">
        <v>312</v>
      </c>
      <c r="C479" s="8" t="s">
        <v>313</v>
      </c>
      <c r="D479" s="26" t="s">
        <v>108</v>
      </c>
      <c r="E479" s="4" t="b">
        <f t="shared" si="1"/>
        <v>1</v>
      </c>
      <c r="F479" s="3">
        <f>IFERROR(__xludf.DUMMYFUNCTION("IF(COUNTIF($D$2:$D1000, D479)&gt;1, MATCH(D479, UNIQUE(FILTER($D$2:$D1000, COUNTIF($D$2:$D1000, $D$2:$D1000)&gt;1)), 0), """")"),16.0)</f>
        <v>16</v>
      </c>
      <c r="G479" s="8" t="s">
        <v>109</v>
      </c>
      <c r="H479" s="8" t="s">
        <v>110</v>
      </c>
      <c r="I479" s="8" t="s">
        <v>1503</v>
      </c>
      <c r="J479" s="8" t="s">
        <v>1504</v>
      </c>
    </row>
    <row r="480">
      <c r="A480" s="3">
        <v>10479.0</v>
      </c>
      <c r="B480" s="8" t="s">
        <v>312</v>
      </c>
      <c r="C480" s="8" t="s">
        <v>313</v>
      </c>
      <c r="D480" s="26" t="s">
        <v>96</v>
      </c>
      <c r="E480" s="4" t="b">
        <f t="shared" si="1"/>
        <v>1</v>
      </c>
      <c r="F480" s="3">
        <f>IFERROR(__xludf.DUMMYFUNCTION("IF(COUNTIF($D$2:$D1000, D480)&gt;1, MATCH(D480, UNIQUE(FILTER($D$2:$D1000, COUNTIF($D$2:$D1000, $D$2:$D1000)&gt;1)), 0), """")"),14.0)</f>
        <v>14</v>
      </c>
      <c r="G480" s="8" t="s">
        <v>97</v>
      </c>
      <c r="H480" s="8" t="s">
        <v>98</v>
      </c>
      <c r="I480" s="8" t="s">
        <v>1505</v>
      </c>
      <c r="J480" s="8" t="s">
        <v>1506</v>
      </c>
    </row>
    <row r="481">
      <c r="A481" s="3">
        <v>10480.0</v>
      </c>
      <c r="B481" s="8" t="s">
        <v>312</v>
      </c>
      <c r="C481" s="8" t="s">
        <v>313</v>
      </c>
      <c r="D481" s="26" t="s">
        <v>756</v>
      </c>
      <c r="E481" s="4" t="b">
        <f t="shared" si="1"/>
        <v>1</v>
      </c>
      <c r="F481" s="3">
        <f>IFERROR(__xludf.DUMMYFUNCTION("IF(COUNTIF($D$2:$D1000, D481)&gt;1, MATCH(D481, UNIQUE(FILTER($D$2:$D1000, COUNTIF($D$2:$D1000, $D$2:$D1000)&gt;1)), 0), """")"),75.0)</f>
        <v>75</v>
      </c>
      <c r="G481" s="8" t="s">
        <v>757</v>
      </c>
      <c r="H481" s="8" t="s">
        <v>758</v>
      </c>
      <c r="I481" s="8" t="s">
        <v>1507</v>
      </c>
      <c r="J481" s="8" t="s">
        <v>1508</v>
      </c>
    </row>
    <row r="482">
      <c r="A482" s="3">
        <v>10481.0</v>
      </c>
      <c r="B482" s="8" t="s">
        <v>312</v>
      </c>
      <c r="C482" s="8" t="s">
        <v>313</v>
      </c>
      <c r="D482" s="26" t="s">
        <v>751</v>
      </c>
      <c r="E482" s="4" t="b">
        <f t="shared" si="1"/>
        <v>1</v>
      </c>
      <c r="F482" s="3">
        <f>IFERROR(__xludf.DUMMYFUNCTION("IF(COUNTIF($D$2:$D1000, D482)&gt;1, MATCH(D482, UNIQUE(FILTER($D$2:$D1000, COUNTIF($D$2:$D1000, $D$2:$D1000)&gt;1)), 0), """")"),74.0)</f>
        <v>74</v>
      </c>
      <c r="G482" s="8" t="s">
        <v>752</v>
      </c>
      <c r="H482" s="8" t="s">
        <v>753</v>
      </c>
      <c r="I482" s="8" t="s">
        <v>1509</v>
      </c>
      <c r="J482" s="8" t="s">
        <v>1510</v>
      </c>
    </row>
    <row r="483">
      <c r="A483" s="3">
        <v>10482.0</v>
      </c>
      <c r="B483" s="8" t="s">
        <v>312</v>
      </c>
      <c r="C483" s="8" t="s">
        <v>313</v>
      </c>
      <c r="D483" s="26" t="s">
        <v>77</v>
      </c>
      <c r="E483" s="4" t="b">
        <f t="shared" si="1"/>
        <v>1</v>
      </c>
      <c r="F483" s="3">
        <f>IFERROR(__xludf.DUMMYFUNCTION("IF(COUNTIF($D$2:$D1000, D483)&gt;1, MATCH(D483, UNIQUE(FILTER($D$2:$D1000, COUNTIF($D$2:$D1000, $D$2:$D1000)&gt;1)), 0), """")"),12.0)</f>
        <v>12</v>
      </c>
      <c r="G483" s="8" t="s">
        <v>78</v>
      </c>
      <c r="H483" s="8" t="s">
        <v>79</v>
      </c>
      <c r="I483" s="8" t="s">
        <v>1511</v>
      </c>
      <c r="J483" s="8" t="s">
        <v>1512</v>
      </c>
    </row>
    <row r="484">
      <c r="A484" s="3">
        <v>10483.0</v>
      </c>
      <c r="B484" s="8" t="s">
        <v>312</v>
      </c>
      <c r="C484" s="8" t="s">
        <v>313</v>
      </c>
      <c r="D484" s="26" t="s">
        <v>777</v>
      </c>
      <c r="E484" s="4" t="b">
        <f t="shared" si="1"/>
        <v>1</v>
      </c>
      <c r="F484" s="3">
        <f>IFERROR(__xludf.DUMMYFUNCTION("IF(COUNTIF($D$2:$D1000, D484)&gt;1, MATCH(D484, UNIQUE(FILTER($D$2:$D1000, COUNTIF($D$2:$D1000, $D$2:$D1000)&gt;1)), 0), """")"),77.0)</f>
        <v>77</v>
      </c>
      <c r="G484" s="8" t="s">
        <v>778</v>
      </c>
      <c r="H484" s="8" t="s">
        <v>779</v>
      </c>
      <c r="I484" s="8" t="s">
        <v>1513</v>
      </c>
      <c r="J484" s="8" t="s">
        <v>1514</v>
      </c>
    </row>
    <row r="485">
      <c r="A485" s="3">
        <v>10484.0</v>
      </c>
      <c r="B485" s="8" t="s">
        <v>312</v>
      </c>
      <c r="C485" s="8" t="s">
        <v>313</v>
      </c>
      <c r="D485" s="26" t="s">
        <v>1090</v>
      </c>
      <c r="E485" s="4" t="b">
        <f t="shared" si="1"/>
        <v>1</v>
      </c>
      <c r="F485" s="3">
        <f>IFERROR(__xludf.DUMMYFUNCTION("IF(COUNTIF($D$2:$D1000, D485)&gt;1, MATCH(D485, UNIQUE(FILTER($D$2:$D1000, COUNTIF($D$2:$D1000, $D$2:$D1000)&gt;1)), 0), """")"),90.0)</f>
        <v>90</v>
      </c>
      <c r="G485" s="8" t="s">
        <v>1091</v>
      </c>
      <c r="H485" s="8" t="s">
        <v>1092</v>
      </c>
      <c r="I485" s="8" t="s">
        <v>1515</v>
      </c>
      <c r="J485" s="8" t="s">
        <v>1516</v>
      </c>
    </row>
    <row r="486">
      <c r="A486" s="3">
        <v>10485.0</v>
      </c>
      <c r="B486" s="8" t="s">
        <v>312</v>
      </c>
      <c r="C486" s="8" t="s">
        <v>313</v>
      </c>
      <c r="D486" s="26" t="s">
        <v>72</v>
      </c>
      <c r="E486" s="4" t="b">
        <f t="shared" si="1"/>
        <v>1</v>
      </c>
      <c r="F486" s="3">
        <f>IFERROR(__xludf.DUMMYFUNCTION("IF(COUNTIF($D$2:$D1000, D486)&gt;1, MATCH(D486, UNIQUE(FILTER($D$2:$D1000, COUNTIF($D$2:$D1000, $D$2:$D1000)&gt;1)), 0), """")"),11.0)</f>
        <v>11</v>
      </c>
      <c r="G486" s="8" t="s">
        <v>73</v>
      </c>
      <c r="H486" s="8" t="s">
        <v>74</v>
      </c>
      <c r="I486" s="8" t="s">
        <v>1517</v>
      </c>
      <c r="J486" s="8" t="s">
        <v>1518</v>
      </c>
    </row>
    <row r="487">
      <c r="A487" s="3">
        <v>10486.0</v>
      </c>
      <c r="B487" s="8" t="s">
        <v>312</v>
      </c>
      <c r="C487" s="8" t="s">
        <v>313</v>
      </c>
      <c r="D487" s="26" t="s">
        <v>30</v>
      </c>
      <c r="E487" s="4" t="b">
        <f t="shared" si="1"/>
        <v>1</v>
      </c>
      <c r="F487" s="3">
        <f>IFERROR(__xludf.DUMMYFUNCTION("IF(COUNTIF($D$2:$D1000, D487)&gt;1, MATCH(D487, UNIQUE(FILTER($D$2:$D1000, COUNTIF($D$2:$D1000, $D$2:$D1000)&gt;1)), 0), """")"),5.0)</f>
        <v>5</v>
      </c>
      <c r="G487" s="8" t="s">
        <v>31</v>
      </c>
      <c r="H487" s="8" t="s">
        <v>32</v>
      </c>
      <c r="I487" s="8" t="s">
        <v>1519</v>
      </c>
      <c r="J487" s="8" t="s">
        <v>1520</v>
      </c>
    </row>
    <row r="488">
      <c r="A488" s="3">
        <v>10487.0</v>
      </c>
      <c r="B488" s="8" t="s">
        <v>312</v>
      </c>
      <c r="C488" s="8" t="s">
        <v>313</v>
      </c>
      <c r="D488" s="26" t="s">
        <v>62</v>
      </c>
      <c r="E488" s="4" t="b">
        <f t="shared" si="1"/>
        <v>1</v>
      </c>
      <c r="F488" s="3">
        <f>IFERROR(__xludf.DUMMYFUNCTION("IF(COUNTIF($D$2:$D1000, D488)&gt;1, MATCH(D488, UNIQUE(FILTER($D$2:$D1000, COUNTIF($D$2:$D1000, $D$2:$D1000)&gt;1)), 0), """")"),10.0)</f>
        <v>10</v>
      </c>
      <c r="G488" s="8" t="s">
        <v>63</v>
      </c>
      <c r="H488" s="8" t="s">
        <v>64</v>
      </c>
      <c r="I488" s="8" t="s">
        <v>1521</v>
      </c>
      <c r="J488" s="8" t="s">
        <v>1522</v>
      </c>
    </row>
    <row r="489">
      <c r="A489" s="3">
        <v>10488.0</v>
      </c>
      <c r="B489" s="8" t="s">
        <v>295</v>
      </c>
      <c r="C489" s="8" t="s">
        <v>296</v>
      </c>
      <c r="D489" s="26" t="s">
        <v>304</v>
      </c>
      <c r="E489" s="4" t="b">
        <f t="shared" si="1"/>
        <v>1</v>
      </c>
      <c r="F489" s="3">
        <f>IFERROR(__xludf.DUMMYFUNCTION("IF(COUNTIF($D$2:$D1000, D489)&gt;1, MATCH(D489, UNIQUE(FILTER($D$2:$D1000, COUNTIF($D$2:$D1000, $D$2:$D1000)&gt;1)), 0), """")"),27.0)</f>
        <v>27</v>
      </c>
      <c r="G489" s="8" t="s">
        <v>305</v>
      </c>
      <c r="H489" s="8" t="s">
        <v>304</v>
      </c>
      <c r="I489" s="8" t="s">
        <v>1523</v>
      </c>
      <c r="J489" s="8" t="s">
        <v>1524</v>
      </c>
    </row>
    <row r="490">
      <c r="A490" s="3">
        <v>10489.0</v>
      </c>
      <c r="B490" s="8" t="s">
        <v>295</v>
      </c>
      <c r="C490" s="8" t="s">
        <v>296</v>
      </c>
      <c r="D490" s="26" t="s">
        <v>321</v>
      </c>
      <c r="E490" s="4" t="b">
        <f t="shared" si="1"/>
        <v>1</v>
      </c>
      <c r="F490" s="3">
        <f>IFERROR(__xludf.DUMMYFUNCTION("IF(COUNTIF($D$2:$D1000, D490)&gt;1, MATCH(D490, UNIQUE(FILTER($D$2:$D1000, COUNTIF($D$2:$D1000, $D$2:$D1000)&gt;1)), 0), """")"),29.0)</f>
        <v>29</v>
      </c>
      <c r="G490" s="8" t="s">
        <v>322</v>
      </c>
      <c r="H490" s="8" t="s">
        <v>321</v>
      </c>
      <c r="I490" s="8" t="s">
        <v>1525</v>
      </c>
      <c r="J490" s="8" t="s">
        <v>1526</v>
      </c>
    </row>
    <row r="491">
      <c r="A491" s="3">
        <v>10490.0</v>
      </c>
      <c r="B491" s="8" t="s">
        <v>295</v>
      </c>
      <c r="C491" s="8" t="s">
        <v>296</v>
      </c>
      <c r="D491" s="26" t="s">
        <v>331</v>
      </c>
      <c r="E491" s="4" t="b">
        <f t="shared" si="1"/>
        <v>1</v>
      </c>
      <c r="F491" s="3">
        <f>IFERROR(__xludf.DUMMYFUNCTION("IF(COUNTIF($D$2:$D1000, D491)&gt;1, MATCH(D491, UNIQUE(FILTER($D$2:$D1000, COUNTIF($D$2:$D1000, $D$2:$D1000)&gt;1)), 0), """")"),31.0)</f>
        <v>31</v>
      </c>
      <c r="G491" s="8" t="s">
        <v>332</v>
      </c>
      <c r="H491" s="8" t="s">
        <v>331</v>
      </c>
      <c r="I491" s="8" t="s">
        <v>1527</v>
      </c>
      <c r="J491" s="8" t="s">
        <v>1528</v>
      </c>
    </row>
    <row r="492">
      <c r="A492" s="3">
        <v>10491.0</v>
      </c>
      <c r="B492" s="8" t="s">
        <v>295</v>
      </c>
      <c r="C492" s="8" t="s">
        <v>296</v>
      </c>
      <c r="D492" s="26" t="s">
        <v>643</v>
      </c>
      <c r="E492" s="4" t="b">
        <f t="shared" si="1"/>
        <v>1</v>
      </c>
      <c r="F492" s="3">
        <f>IFERROR(__xludf.DUMMYFUNCTION("IF(COUNTIF($D$2:$D1000, D492)&gt;1, MATCH(D492, UNIQUE(FILTER($D$2:$D1000, COUNTIF($D$2:$D1000, $D$2:$D1000)&gt;1)), 0), """")"),66.0)</f>
        <v>66</v>
      </c>
      <c r="G492" s="8" t="s">
        <v>644</v>
      </c>
      <c r="H492" s="8" t="s">
        <v>645</v>
      </c>
      <c r="I492" s="8" t="s">
        <v>1529</v>
      </c>
      <c r="J492" s="8" t="s">
        <v>1530</v>
      </c>
    </row>
    <row r="493">
      <c r="A493" s="3">
        <v>10492.0</v>
      </c>
      <c r="B493" s="8" t="s">
        <v>295</v>
      </c>
      <c r="C493" s="8" t="s">
        <v>296</v>
      </c>
      <c r="D493" s="26" t="s">
        <v>108</v>
      </c>
      <c r="E493" s="4" t="b">
        <f t="shared" si="1"/>
        <v>1</v>
      </c>
      <c r="F493" s="3">
        <f>IFERROR(__xludf.DUMMYFUNCTION("IF(COUNTIF($D$2:$D1000, D493)&gt;1, MATCH(D493, UNIQUE(FILTER($D$2:$D1000, COUNTIF($D$2:$D1000, $D$2:$D1000)&gt;1)), 0), """")"),16.0)</f>
        <v>16</v>
      </c>
      <c r="G493" s="8" t="s">
        <v>109</v>
      </c>
      <c r="H493" s="8" t="s">
        <v>110</v>
      </c>
      <c r="I493" s="8" t="s">
        <v>1531</v>
      </c>
      <c r="J493" s="8" t="s">
        <v>1532</v>
      </c>
    </row>
    <row r="494">
      <c r="A494" s="3">
        <v>10493.0</v>
      </c>
      <c r="B494" s="8" t="s">
        <v>295</v>
      </c>
      <c r="C494" s="8" t="s">
        <v>296</v>
      </c>
      <c r="D494" s="26" t="s">
        <v>316</v>
      </c>
      <c r="E494" s="4" t="b">
        <f t="shared" si="1"/>
        <v>1</v>
      </c>
      <c r="F494" s="3">
        <f>IFERROR(__xludf.DUMMYFUNCTION("IF(COUNTIF($D$2:$D1000, D494)&gt;1, MATCH(D494, UNIQUE(FILTER($D$2:$D1000, COUNTIF($D$2:$D1000, $D$2:$D1000)&gt;1)), 0), """")"),28.0)</f>
        <v>28</v>
      </c>
      <c r="G494" s="8" t="s">
        <v>317</v>
      </c>
      <c r="H494" s="8" t="s">
        <v>318</v>
      </c>
      <c r="I494" s="8" t="s">
        <v>1533</v>
      </c>
      <c r="J494" s="8" t="s">
        <v>1534</v>
      </c>
    </row>
    <row r="495">
      <c r="A495" s="3">
        <v>10494.0</v>
      </c>
      <c r="B495" s="8" t="s">
        <v>295</v>
      </c>
      <c r="C495" s="8" t="s">
        <v>296</v>
      </c>
      <c r="D495" s="26" t="s">
        <v>335</v>
      </c>
      <c r="E495" s="4" t="b">
        <f t="shared" si="1"/>
        <v>1</v>
      </c>
      <c r="F495" s="3">
        <f>IFERROR(__xludf.DUMMYFUNCTION("IF(COUNTIF($D$2:$D1000, D495)&gt;1, MATCH(D495, UNIQUE(FILTER($D$2:$D1000, COUNTIF($D$2:$D1000, $D$2:$D1000)&gt;1)), 0), """")"),32.0)</f>
        <v>32</v>
      </c>
      <c r="G495" s="8" t="s">
        <v>336</v>
      </c>
      <c r="H495" s="8" t="s">
        <v>337</v>
      </c>
      <c r="I495" s="8" t="s">
        <v>1535</v>
      </c>
      <c r="J495" s="8" t="s">
        <v>1536</v>
      </c>
    </row>
    <row r="496">
      <c r="A496" s="3">
        <v>10495.0</v>
      </c>
      <c r="B496" s="8" t="s">
        <v>295</v>
      </c>
      <c r="C496" s="8" t="s">
        <v>296</v>
      </c>
      <c r="D496" s="26" t="s">
        <v>816</v>
      </c>
      <c r="E496" s="4" t="b">
        <f t="shared" si="1"/>
        <v>1</v>
      </c>
      <c r="F496" s="3">
        <f>IFERROR(__xludf.DUMMYFUNCTION("IF(COUNTIF($D$2:$D1000, D496)&gt;1, MATCH(D496, UNIQUE(FILTER($D$2:$D1000, COUNTIF($D$2:$D1000, $D$2:$D1000)&gt;1)), 0), """")"),79.0)</f>
        <v>79</v>
      </c>
      <c r="G496" s="8" t="s">
        <v>817</v>
      </c>
      <c r="H496" s="8" t="s">
        <v>818</v>
      </c>
      <c r="I496" s="8" t="s">
        <v>1537</v>
      </c>
      <c r="J496" s="8" t="s">
        <v>1538</v>
      </c>
    </row>
    <row r="497">
      <c r="A497" s="3">
        <v>10496.0</v>
      </c>
      <c r="B497" s="8" t="s">
        <v>295</v>
      </c>
      <c r="C497" s="8" t="s">
        <v>296</v>
      </c>
      <c r="D497" s="26" t="s">
        <v>178</v>
      </c>
      <c r="E497" s="4" t="b">
        <f t="shared" si="1"/>
        <v>1</v>
      </c>
      <c r="F497" s="3">
        <f>IFERROR(__xludf.DUMMYFUNCTION("IF(COUNTIF($D$2:$D1000, D497)&gt;1, MATCH(D497, UNIQUE(FILTER($D$2:$D1000, COUNTIF($D$2:$D1000, $D$2:$D1000)&gt;1)), 0), """")"),20.0)</f>
        <v>20</v>
      </c>
      <c r="G497" s="8" t="s">
        <v>179</v>
      </c>
      <c r="H497" s="8" t="s">
        <v>178</v>
      </c>
      <c r="I497" s="8" t="s">
        <v>1539</v>
      </c>
      <c r="J497" s="8" t="s">
        <v>1540</v>
      </c>
    </row>
    <row r="498">
      <c r="A498" s="3">
        <v>10497.0</v>
      </c>
      <c r="B498" s="8" t="s">
        <v>295</v>
      </c>
      <c r="C498" s="8" t="s">
        <v>296</v>
      </c>
      <c r="D498" s="26" t="s">
        <v>791</v>
      </c>
      <c r="E498" s="4" t="b">
        <f t="shared" si="1"/>
        <v>1</v>
      </c>
      <c r="F498" s="3">
        <f>IFERROR(__xludf.DUMMYFUNCTION("IF(COUNTIF($D$2:$D1000, D498)&gt;1, MATCH(D498, UNIQUE(FILTER($D$2:$D1000, COUNTIF($D$2:$D1000, $D$2:$D1000)&gt;1)), 0), """")"),78.0)</f>
        <v>78</v>
      </c>
      <c r="G498" s="8" t="s">
        <v>792</v>
      </c>
      <c r="H498" s="8" t="s">
        <v>793</v>
      </c>
      <c r="I498" s="8" t="s">
        <v>1541</v>
      </c>
      <c r="J498" s="8" t="s">
        <v>1542</v>
      </c>
    </row>
    <row r="499">
      <c r="A499" s="3">
        <v>10498.0</v>
      </c>
      <c r="B499" s="8" t="s">
        <v>295</v>
      </c>
      <c r="C499" s="8" t="s">
        <v>296</v>
      </c>
      <c r="D499" s="26" t="s">
        <v>834</v>
      </c>
      <c r="E499" s="4" t="b">
        <f t="shared" si="1"/>
        <v>1</v>
      </c>
      <c r="F499" s="3">
        <f>IFERROR(__xludf.DUMMYFUNCTION("IF(COUNTIF($D$2:$D1000, D499)&gt;1, MATCH(D499, UNIQUE(FILTER($D$2:$D1000, COUNTIF($D$2:$D1000, $D$2:$D1000)&gt;1)), 0), """")"),81.0)</f>
        <v>81</v>
      </c>
      <c r="G499" s="8" t="s">
        <v>835</v>
      </c>
      <c r="H499" s="8" t="s">
        <v>836</v>
      </c>
      <c r="I499" s="8" t="s">
        <v>1543</v>
      </c>
      <c r="J499" s="8" t="s">
        <v>1544</v>
      </c>
    </row>
    <row r="500">
      <c r="A500" s="3">
        <v>10499.0</v>
      </c>
      <c r="B500" s="8" t="s">
        <v>295</v>
      </c>
      <c r="C500" s="8" t="s">
        <v>296</v>
      </c>
      <c r="D500" s="26" t="s">
        <v>1381</v>
      </c>
      <c r="E500" s="4" t="b">
        <f t="shared" si="1"/>
        <v>1</v>
      </c>
      <c r="F500" s="3">
        <f>IFERROR(__xludf.DUMMYFUNCTION("IF(COUNTIF($D$2:$D1000, D500)&gt;1, MATCH(D500, UNIQUE(FILTER($D$2:$D1000, COUNTIF($D$2:$D1000, $D$2:$D1000)&gt;1)), 0), """")"),92.0)</f>
        <v>92</v>
      </c>
      <c r="G500" s="8" t="s">
        <v>1382</v>
      </c>
      <c r="H500" s="8" t="s">
        <v>1383</v>
      </c>
      <c r="I500" s="8" t="s">
        <v>1545</v>
      </c>
      <c r="J500" s="8" t="s">
        <v>1546</v>
      </c>
    </row>
    <row r="501">
      <c r="A501" s="3">
        <v>10500.0</v>
      </c>
      <c r="B501" s="8" t="s">
        <v>295</v>
      </c>
      <c r="C501" s="8" t="s">
        <v>296</v>
      </c>
      <c r="D501" s="26" t="s">
        <v>823</v>
      </c>
      <c r="E501" s="4" t="b">
        <f t="shared" si="1"/>
        <v>1</v>
      </c>
      <c r="F501" s="3">
        <f>IFERROR(__xludf.DUMMYFUNCTION("IF(COUNTIF($D$2:$D1000, D501)&gt;1, MATCH(D501, UNIQUE(FILTER($D$2:$D1000, COUNTIF($D$2:$D1000, $D$2:$D1000)&gt;1)), 0), """")"),80.0)</f>
        <v>80</v>
      </c>
      <c r="G501" s="8" t="s">
        <v>824</v>
      </c>
      <c r="H501" s="8" t="s">
        <v>825</v>
      </c>
      <c r="I501" s="8" t="s">
        <v>1547</v>
      </c>
      <c r="J501" s="8" t="s">
        <v>1548</v>
      </c>
    </row>
    <row r="502">
      <c r="A502" s="3"/>
      <c r="B502" s="27"/>
      <c r="C502" s="27"/>
      <c r="D502" s="27"/>
      <c r="E502" s="27"/>
      <c r="F502" s="30"/>
      <c r="G502" s="27"/>
      <c r="H502" s="27"/>
      <c r="I502" s="27"/>
      <c r="J502" s="27"/>
    </row>
    <row r="503">
      <c r="A503" s="3"/>
      <c r="B503" s="27"/>
      <c r="C503" s="27"/>
      <c r="D503" s="27"/>
      <c r="E503" s="27"/>
      <c r="F503" s="30"/>
      <c r="G503" s="27"/>
      <c r="H503" s="27"/>
      <c r="I503" s="27"/>
      <c r="J503" s="27"/>
    </row>
    <row r="504">
      <c r="A504" s="3"/>
      <c r="B504" s="27"/>
      <c r="C504" s="27"/>
      <c r="D504" s="27"/>
      <c r="E504" s="27"/>
      <c r="F504" s="30"/>
      <c r="G504" s="27"/>
      <c r="H504" s="27"/>
      <c r="I504" s="27"/>
      <c r="J504" s="27"/>
    </row>
    <row r="505">
      <c r="A505" s="3"/>
      <c r="B505" s="27"/>
      <c r="C505" s="27"/>
      <c r="D505" s="27"/>
      <c r="E505" s="27"/>
      <c r="F505" s="30"/>
      <c r="G505" s="27"/>
      <c r="H505" s="27"/>
      <c r="I505" s="27"/>
      <c r="J505" s="27"/>
    </row>
    <row r="506">
      <c r="A506" s="3"/>
      <c r="B506" s="27"/>
      <c r="C506" s="27"/>
      <c r="D506" s="27"/>
      <c r="E506" s="27"/>
      <c r="F506" s="30"/>
      <c r="G506" s="27"/>
      <c r="H506" s="27"/>
      <c r="I506" s="27"/>
      <c r="J506" s="27"/>
    </row>
    <row r="507">
      <c r="A507" s="3"/>
      <c r="B507" s="27"/>
      <c r="C507" s="27"/>
      <c r="D507" s="27"/>
      <c r="E507" s="27"/>
      <c r="F507" s="30"/>
      <c r="G507" s="27"/>
      <c r="H507" s="27"/>
      <c r="I507" s="27"/>
      <c r="J507" s="27"/>
    </row>
    <row r="508">
      <c r="A508" s="3"/>
      <c r="B508" s="27"/>
      <c r="C508" s="27"/>
      <c r="D508" s="27"/>
      <c r="E508" s="27"/>
      <c r="F508" s="30"/>
      <c r="G508" s="27"/>
      <c r="H508" s="27"/>
      <c r="I508" s="27"/>
      <c r="J508" s="27"/>
    </row>
    <row r="509">
      <c r="A509" s="3"/>
      <c r="B509" s="27"/>
      <c r="C509" s="27"/>
      <c r="D509" s="27"/>
      <c r="E509" s="27"/>
      <c r="F509" s="30"/>
      <c r="G509" s="27"/>
      <c r="H509" s="27"/>
      <c r="I509" s="27"/>
      <c r="J509" s="27"/>
    </row>
    <row r="510">
      <c r="A510" s="3"/>
      <c r="B510" s="27"/>
      <c r="C510" s="27"/>
      <c r="D510" s="27"/>
      <c r="E510" s="27"/>
      <c r="F510" s="30"/>
      <c r="G510" s="27"/>
      <c r="H510" s="27"/>
      <c r="I510" s="27"/>
      <c r="J510" s="27"/>
    </row>
    <row r="511">
      <c r="A511" s="3"/>
      <c r="B511" s="27"/>
      <c r="C511" s="27"/>
      <c r="D511" s="27"/>
      <c r="E511" s="27"/>
      <c r="F511" s="30"/>
      <c r="G511" s="27"/>
      <c r="H511" s="27"/>
      <c r="I511" s="27"/>
      <c r="J511" s="27"/>
    </row>
    <row r="512">
      <c r="A512" s="3"/>
      <c r="B512" s="27"/>
      <c r="C512" s="27"/>
      <c r="D512" s="27"/>
      <c r="E512" s="27"/>
      <c r="F512" s="30"/>
      <c r="G512" s="27"/>
      <c r="H512" s="27"/>
      <c r="I512" s="27"/>
      <c r="J512" s="27"/>
    </row>
    <row r="513">
      <c r="A513" s="3"/>
      <c r="B513" s="27"/>
      <c r="C513" s="27"/>
      <c r="D513" s="27"/>
      <c r="E513" s="27"/>
      <c r="F513" s="30"/>
      <c r="G513" s="27"/>
      <c r="H513" s="27"/>
      <c r="I513" s="27"/>
      <c r="J513" s="27"/>
    </row>
    <row r="514">
      <c r="A514" s="3"/>
      <c r="B514" s="27"/>
      <c r="C514" s="27"/>
      <c r="D514" s="27"/>
      <c r="E514" s="27"/>
      <c r="F514" s="30"/>
      <c r="G514" s="27"/>
      <c r="H514" s="27"/>
      <c r="I514" s="27"/>
      <c r="J514" s="27"/>
    </row>
    <row r="515">
      <c r="A515" s="3"/>
      <c r="B515" s="27"/>
      <c r="C515" s="27"/>
      <c r="D515" s="27"/>
      <c r="E515" s="27"/>
      <c r="F515" s="30"/>
      <c r="G515" s="27"/>
      <c r="H515" s="27"/>
      <c r="I515" s="27"/>
      <c r="J515" s="27"/>
    </row>
    <row r="516">
      <c r="A516" s="3"/>
      <c r="B516" s="27"/>
      <c r="C516" s="27"/>
      <c r="D516" s="27"/>
      <c r="E516" s="27"/>
      <c r="F516" s="30"/>
      <c r="G516" s="27"/>
      <c r="H516" s="27"/>
      <c r="I516" s="27"/>
      <c r="J516" s="27"/>
    </row>
    <row r="517">
      <c r="A517" s="3"/>
      <c r="B517" s="27"/>
      <c r="C517" s="27"/>
      <c r="D517" s="27"/>
      <c r="E517" s="27"/>
      <c r="F517" s="30"/>
      <c r="G517" s="27"/>
      <c r="H517" s="27"/>
      <c r="I517" s="27"/>
      <c r="J517" s="27"/>
    </row>
    <row r="518">
      <c r="A518" s="3"/>
      <c r="B518" s="27"/>
      <c r="C518" s="27"/>
      <c r="D518" s="27"/>
      <c r="E518" s="27"/>
      <c r="F518" s="30"/>
      <c r="G518" s="27"/>
      <c r="H518" s="27"/>
      <c r="I518" s="27"/>
      <c r="J518" s="27"/>
    </row>
    <row r="519">
      <c r="A519" s="3"/>
      <c r="B519" s="27"/>
      <c r="C519" s="27"/>
      <c r="D519" s="27"/>
      <c r="E519" s="27"/>
      <c r="F519" s="30"/>
      <c r="G519" s="27"/>
      <c r="H519" s="27"/>
      <c r="I519" s="27"/>
      <c r="J519" s="27"/>
    </row>
    <row r="520">
      <c r="A520" s="3"/>
      <c r="B520" s="27"/>
      <c r="C520" s="27"/>
      <c r="D520" s="27"/>
      <c r="E520" s="27"/>
      <c r="F520" s="30"/>
      <c r="G520" s="27"/>
      <c r="H520" s="27"/>
      <c r="I520" s="27"/>
      <c r="J520" s="27"/>
    </row>
    <row r="521">
      <c r="A521" s="3"/>
      <c r="B521" s="27"/>
      <c r="C521" s="27"/>
      <c r="D521" s="27"/>
      <c r="E521" s="27"/>
      <c r="F521" s="30"/>
      <c r="G521" s="27"/>
      <c r="H521" s="27"/>
      <c r="I521" s="27"/>
      <c r="J521" s="27"/>
    </row>
    <row r="522">
      <c r="A522" s="3"/>
      <c r="B522" s="27"/>
      <c r="C522" s="27"/>
      <c r="D522" s="27"/>
      <c r="E522" s="27"/>
      <c r="F522" s="30"/>
      <c r="G522" s="27"/>
      <c r="H522" s="27"/>
      <c r="I522" s="27"/>
      <c r="J522" s="27"/>
    </row>
    <row r="523">
      <c r="A523" s="3"/>
      <c r="B523" s="27"/>
      <c r="C523" s="27"/>
      <c r="D523" s="27"/>
      <c r="E523" s="27"/>
      <c r="F523" s="30"/>
      <c r="G523" s="27"/>
      <c r="H523" s="27"/>
      <c r="I523" s="27"/>
      <c r="J523" s="27"/>
    </row>
    <row r="524">
      <c r="A524" s="3"/>
      <c r="B524" s="27"/>
      <c r="C524" s="27"/>
      <c r="D524" s="27"/>
      <c r="E524" s="27"/>
      <c r="F524" s="30"/>
      <c r="G524" s="27"/>
      <c r="H524" s="27"/>
      <c r="I524" s="27"/>
      <c r="J524" s="27"/>
    </row>
    <row r="525">
      <c r="A525" s="3"/>
      <c r="B525" s="27"/>
      <c r="C525" s="27"/>
      <c r="D525" s="27"/>
      <c r="E525" s="27"/>
      <c r="F525" s="30"/>
      <c r="G525" s="27"/>
      <c r="H525" s="27"/>
      <c r="I525" s="27"/>
      <c r="J525" s="27"/>
    </row>
    <row r="526">
      <c r="A526" s="3"/>
      <c r="B526" s="27"/>
      <c r="C526" s="27"/>
      <c r="D526" s="27"/>
      <c r="E526" s="27"/>
      <c r="F526" s="30"/>
      <c r="G526" s="27"/>
      <c r="H526" s="27"/>
      <c r="I526" s="27"/>
      <c r="J526" s="27"/>
    </row>
    <row r="527">
      <c r="A527" s="3"/>
      <c r="B527" s="27"/>
      <c r="C527" s="27"/>
      <c r="D527" s="27"/>
      <c r="E527" s="27"/>
      <c r="F527" s="30"/>
      <c r="G527" s="27"/>
      <c r="H527" s="27"/>
      <c r="I527" s="27"/>
      <c r="J527" s="27"/>
    </row>
    <row r="528">
      <c r="A528" s="3"/>
      <c r="B528" s="27"/>
      <c r="C528" s="27"/>
      <c r="D528" s="27"/>
      <c r="E528" s="27"/>
      <c r="F528" s="30"/>
      <c r="G528" s="27"/>
      <c r="H528" s="27"/>
      <c r="I528" s="27"/>
      <c r="J528" s="27"/>
    </row>
    <row r="529">
      <c r="A529" s="3"/>
      <c r="B529" s="27"/>
      <c r="C529" s="27"/>
      <c r="D529" s="27"/>
      <c r="E529" s="27"/>
      <c r="F529" s="30"/>
      <c r="G529" s="27"/>
      <c r="H529" s="27"/>
      <c r="I529" s="27"/>
      <c r="J529" s="27"/>
    </row>
    <row r="530">
      <c r="A530" s="3"/>
      <c r="B530" s="27"/>
      <c r="C530" s="27"/>
      <c r="D530" s="27"/>
      <c r="E530" s="27"/>
      <c r="F530" s="30"/>
      <c r="G530" s="27"/>
      <c r="H530" s="27"/>
      <c r="I530" s="27"/>
      <c r="J530" s="27"/>
    </row>
    <row r="531">
      <c r="A531" s="3"/>
      <c r="B531" s="27"/>
      <c r="C531" s="27"/>
      <c r="D531" s="27"/>
      <c r="E531" s="27"/>
      <c r="F531" s="30"/>
      <c r="G531" s="27"/>
      <c r="H531" s="27"/>
      <c r="I531" s="27"/>
      <c r="J531" s="27"/>
    </row>
    <row r="532">
      <c r="A532" s="3"/>
      <c r="B532" s="27"/>
      <c r="C532" s="27"/>
      <c r="D532" s="27"/>
      <c r="E532" s="27"/>
      <c r="F532" s="30"/>
      <c r="G532" s="27"/>
      <c r="H532" s="27"/>
      <c r="I532" s="27"/>
      <c r="J532" s="27"/>
    </row>
    <row r="533">
      <c r="A533" s="3"/>
      <c r="B533" s="27"/>
      <c r="C533" s="27"/>
      <c r="D533" s="27"/>
      <c r="E533" s="27"/>
      <c r="F533" s="30"/>
      <c r="G533" s="27"/>
      <c r="H533" s="27"/>
      <c r="I533" s="27"/>
      <c r="J533" s="27"/>
    </row>
    <row r="534">
      <c r="A534" s="3"/>
      <c r="B534" s="27"/>
      <c r="C534" s="27"/>
      <c r="D534" s="27"/>
      <c r="E534" s="27"/>
      <c r="F534" s="30"/>
      <c r="G534" s="27"/>
      <c r="H534" s="27"/>
      <c r="I534" s="27"/>
      <c r="J534" s="27"/>
    </row>
    <row r="535">
      <c r="A535" s="3"/>
      <c r="B535" s="27"/>
      <c r="C535" s="27"/>
      <c r="D535" s="27"/>
      <c r="E535" s="27"/>
      <c r="F535" s="30"/>
      <c r="G535" s="27"/>
      <c r="H535" s="27"/>
      <c r="I535" s="27"/>
      <c r="J535" s="27"/>
    </row>
    <row r="536">
      <c r="A536" s="3"/>
      <c r="B536" s="27"/>
      <c r="C536" s="27"/>
      <c r="D536" s="27"/>
      <c r="E536" s="27"/>
      <c r="F536" s="30"/>
      <c r="G536" s="27"/>
      <c r="H536" s="27"/>
      <c r="I536" s="27"/>
      <c r="J536" s="27"/>
    </row>
    <row r="537">
      <c r="A537" s="3"/>
      <c r="B537" s="27"/>
      <c r="C537" s="27"/>
      <c r="D537" s="27"/>
      <c r="E537" s="27"/>
      <c r="F537" s="30"/>
      <c r="G537" s="27"/>
      <c r="H537" s="27"/>
      <c r="I537" s="27"/>
      <c r="J537" s="27"/>
    </row>
    <row r="538">
      <c r="A538" s="3"/>
      <c r="B538" s="27"/>
      <c r="C538" s="27"/>
      <c r="D538" s="27"/>
      <c r="E538" s="27"/>
      <c r="F538" s="30"/>
      <c r="G538" s="27"/>
      <c r="H538" s="27"/>
      <c r="I538" s="27"/>
      <c r="J538" s="27"/>
    </row>
    <row r="539">
      <c r="A539" s="3"/>
      <c r="B539" s="27"/>
      <c r="C539" s="27"/>
      <c r="D539" s="27"/>
      <c r="E539" s="27"/>
      <c r="F539" s="30"/>
      <c r="G539" s="27"/>
      <c r="H539" s="27"/>
      <c r="I539" s="27"/>
      <c r="J539" s="27"/>
    </row>
    <row r="540">
      <c r="A540" s="3"/>
      <c r="B540" s="27"/>
      <c r="C540" s="27"/>
      <c r="D540" s="27"/>
      <c r="E540" s="27"/>
      <c r="F540" s="30"/>
      <c r="G540" s="27"/>
      <c r="H540" s="27"/>
      <c r="I540" s="27"/>
      <c r="J540" s="27"/>
    </row>
    <row r="541">
      <c r="A541" s="3"/>
      <c r="B541" s="27"/>
      <c r="C541" s="27"/>
      <c r="D541" s="27"/>
      <c r="E541" s="27"/>
      <c r="F541" s="30"/>
      <c r="G541" s="27"/>
      <c r="H541" s="27"/>
      <c r="I541" s="27"/>
      <c r="J541" s="27"/>
    </row>
    <row r="542">
      <c r="A542" s="3"/>
      <c r="B542" s="27"/>
      <c r="C542" s="27"/>
      <c r="D542" s="27"/>
      <c r="E542" s="27"/>
      <c r="F542" s="30"/>
      <c r="G542" s="27"/>
      <c r="H542" s="27"/>
      <c r="I542" s="27"/>
      <c r="J542" s="27"/>
    </row>
    <row r="543">
      <c r="A543" s="3"/>
      <c r="B543" s="27"/>
      <c r="C543" s="27"/>
      <c r="D543" s="27"/>
      <c r="E543" s="27"/>
      <c r="F543" s="30"/>
      <c r="G543" s="27"/>
      <c r="H543" s="27"/>
      <c r="I543" s="27"/>
      <c r="J543" s="27"/>
    </row>
    <row r="544">
      <c r="A544" s="3"/>
      <c r="B544" s="27"/>
      <c r="C544" s="27"/>
      <c r="D544" s="27"/>
      <c r="E544" s="27"/>
      <c r="F544" s="30"/>
      <c r="G544" s="27"/>
      <c r="H544" s="27"/>
      <c r="I544" s="27"/>
      <c r="J544" s="27"/>
    </row>
    <row r="545">
      <c r="A545" s="3"/>
      <c r="B545" s="27"/>
      <c r="C545" s="27"/>
      <c r="D545" s="27"/>
      <c r="E545" s="27"/>
      <c r="F545" s="30"/>
      <c r="G545" s="27"/>
      <c r="H545" s="27"/>
      <c r="I545" s="27"/>
      <c r="J545" s="27"/>
    </row>
    <row r="546">
      <c r="A546" s="3"/>
      <c r="B546" s="27"/>
      <c r="C546" s="27"/>
      <c r="D546" s="27"/>
      <c r="E546" s="27"/>
      <c r="F546" s="30"/>
      <c r="G546" s="27"/>
      <c r="H546" s="27"/>
      <c r="I546" s="27"/>
      <c r="J546" s="27"/>
    </row>
    <row r="547">
      <c r="A547" s="3"/>
      <c r="B547" s="27"/>
      <c r="C547" s="27"/>
      <c r="D547" s="27"/>
      <c r="E547" s="27"/>
      <c r="F547" s="30"/>
      <c r="G547" s="27"/>
      <c r="H547" s="27"/>
      <c r="I547" s="27"/>
      <c r="J547" s="27"/>
    </row>
    <row r="548">
      <c r="A548" s="3"/>
      <c r="B548" s="27"/>
      <c r="C548" s="27"/>
      <c r="D548" s="27"/>
      <c r="E548" s="27"/>
      <c r="F548" s="30"/>
      <c r="G548" s="27"/>
      <c r="H548" s="27"/>
      <c r="I548" s="27"/>
      <c r="J548" s="27"/>
    </row>
    <row r="549">
      <c r="A549" s="3"/>
      <c r="B549" s="27"/>
      <c r="C549" s="27"/>
      <c r="D549" s="27"/>
      <c r="E549" s="27"/>
      <c r="F549" s="30"/>
      <c r="G549" s="27"/>
      <c r="H549" s="27"/>
      <c r="I549" s="27"/>
      <c r="J549" s="27"/>
    </row>
    <row r="550">
      <c r="A550" s="3"/>
      <c r="B550" s="27"/>
      <c r="C550" s="27"/>
      <c r="D550" s="27"/>
      <c r="E550" s="27"/>
      <c r="F550" s="30"/>
      <c r="G550" s="27"/>
      <c r="H550" s="27"/>
      <c r="I550" s="27"/>
      <c r="J550" s="27"/>
    </row>
    <row r="551">
      <c r="A551" s="3"/>
      <c r="B551" s="27"/>
      <c r="C551" s="27"/>
      <c r="D551" s="27"/>
      <c r="E551" s="27"/>
      <c r="F551" s="30"/>
      <c r="G551" s="27"/>
      <c r="H551" s="27"/>
      <c r="I551" s="27"/>
      <c r="J551" s="27"/>
    </row>
    <row r="552">
      <c r="A552" s="3"/>
      <c r="B552" s="27"/>
      <c r="C552" s="27"/>
      <c r="D552" s="27"/>
      <c r="E552" s="27"/>
      <c r="F552" s="30"/>
      <c r="G552" s="27"/>
      <c r="H552" s="27"/>
      <c r="I552" s="27"/>
      <c r="J552" s="27"/>
    </row>
    <row r="553">
      <c r="A553" s="3"/>
      <c r="B553" s="27"/>
      <c r="C553" s="27"/>
      <c r="D553" s="27"/>
      <c r="E553" s="27"/>
      <c r="F553" s="30"/>
      <c r="G553" s="27"/>
      <c r="H553" s="27"/>
      <c r="I553" s="27"/>
      <c r="J553" s="27"/>
    </row>
    <row r="554">
      <c r="A554" s="3"/>
      <c r="B554" s="27"/>
      <c r="C554" s="27"/>
      <c r="D554" s="27"/>
      <c r="E554" s="27"/>
      <c r="F554" s="30"/>
      <c r="G554" s="27"/>
      <c r="H554" s="27"/>
      <c r="I554" s="27"/>
      <c r="J554" s="27"/>
    </row>
    <row r="555">
      <c r="A555" s="3"/>
      <c r="B555" s="27"/>
      <c r="C555" s="27"/>
      <c r="D555" s="27"/>
      <c r="E555" s="27"/>
      <c r="F555" s="30"/>
      <c r="G555" s="27"/>
      <c r="H555" s="27"/>
      <c r="I555" s="27"/>
      <c r="J555" s="27"/>
    </row>
    <row r="556">
      <c r="A556" s="3"/>
      <c r="B556" s="27"/>
      <c r="C556" s="27"/>
      <c r="D556" s="27"/>
      <c r="E556" s="27"/>
      <c r="F556" s="30"/>
      <c r="G556" s="27"/>
      <c r="H556" s="27"/>
      <c r="I556" s="27"/>
      <c r="J556" s="27"/>
    </row>
    <row r="557">
      <c r="A557" s="3"/>
      <c r="B557" s="27"/>
      <c r="C557" s="27"/>
      <c r="D557" s="27"/>
      <c r="E557" s="27"/>
      <c r="F557" s="30"/>
      <c r="G557" s="27"/>
      <c r="H557" s="27"/>
      <c r="I557" s="27"/>
      <c r="J557" s="27"/>
    </row>
    <row r="558">
      <c r="A558" s="3"/>
      <c r="B558" s="27"/>
      <c r="C558" s="27"/>
      <c r="D558" s="27"/>
      <c r="E558" s="27"/>
      <c r="F558" s="30"/>
      <c r="G558" s="27"/>
      <c r="H558" s="27"/>
      <c r="I558" s="27"/>
      <c r="J558" s="27"/>
    </row>
    <row r="559">
      <c r="A559" s="3"/>
      <c r="B559" s="27"/>
      <c r="C559" s="27"/>
      <c r="D559" s="27"/>
      <c r="E559" s="27"/>
      <c r="F559" s="30"/>
      <c r="G559" s="27"/>
      <c r="H559" s="27"/>
      <c r="I559" s="27"/>
      <c r="J559" s="27"/>
    </row>
    <row r="560">
      <c r="A560" s="3"/>
      <c r="B560" s="27"/>
      <c r="C560" s="27"/>
      <c r="D560" s="27"/>
      <c r="E560" s="27"/>
      <c r="F560" s="30"/>
      <c r="G560" s="27"/>
      <c r="H560" s="27"/>
      <c r="I560" s="27"/>
      <c r="J560" s="27"/>
    </row>
    <row r="561">
      <c r="A561" s="3"/>
      <c r="B561" s="27"/>
      <c r="C561" s="27"/>
      <c r="D561" s="27"/>
      <c r="E561" s="27"/>
      <c r="F561" s="30"/>
      <c r="G561" s="27"/>
      <c r="H561" s="27"/>
      <c r="I561" s="27"/>
      <c r="J561" s="27"/>
    </row>
    <row r="562">
      <c r="A562" s="3"/>
      <c r="B562" s="27"/>
      <c r="C562" s="27"/>
      <c r="D562" s="27"/>
      <c r="E562" s="27"/>
      <c r="F562" s="30"/>
      <c r="G562" s="27"/>
      <c r="H562" s="27"/>
      <c r="I562" s="27"/>
      <c r="J562" s="27"/>
    </row>
    <row r="563">
      <c r="A563" s="3"/>
      <c r="B563" s="27"/>
      <c r="C563" s="27"/>
      <c r="D563" s="27"/>
      <c r="E563" s="27"/>
      <c r="F563" s="30"/>
      <c r="G563" s="27"/>
      <c r="H563" s="27"/>
      <c r="I563" s="27"/>
      <c r="J563" s="27"/>
    </row>
    <row r="564">
      <c r="A564" s="3"/>
      <c r="B564" s="27"/>
      <c r="C564" s="27"/>
      <c r="D564" s="27"/>
      <c r="E564" s="27"/>
      <c r="F564" s="30"/>
      <c r="G564" s="27"/>
      <c r="H564" s="27"/>
      <c r="I564" s="27"/>
      <c r="J564" s="27"/>
    </row>
    <row r="565">
      <c r="A565" s="3"/>
      <c r="B565" s="27"/>
      <c r="C565" s="27"/>
      <c r="D565" s="27"/>
      <c r="E565" s="27"/>
      <c r="F565" s="30"/>
      <c r="G565" s="27"/>
      <c r="H565" s="27"/>
      <c r="I565" s="27"/>
      <c r="J565" s="27"/>
    </row>
    <row r="566">
      <c r="A566" s="3"/>
      <c r="B566" s="27"/>
      <c r="C566" s="27"/>
      <c r="D566" s="27"/>
      <c r="E566" s="27"/>
      <c r="F566" s="30"/>
      <c r="G566" s="27"/>
      <c r="H566" s="27"/>
      <c r="I566" s="27"/>
      <c r="J566" s="27"/>
    </row>
    <row r="567">
      <c r="A567" s="3"/>
      <c r="B567" s="27"/>
      <c r="C567" s="27"/>
      <c r="D567" s="27"/>
      <c r="E567" s="27"/>
      <c r="F567" s="30"/>
      <c r="G567" s="27"/>
      <c r="H567" s="27"/>
      <c r="I567" s="27"/>
      <c r="J567" s="27"/>
    </row>
    <row r="568">
      <c r="A568" s="3"/>
      <c r="B568" s="27"/>
      <c r="C568" s="27"/>
      <c r="D568" s="27"/>
      <c r="E568" s="27"/>
      <c r="F568" s="30"/>
      <c r="G568" s="27"/>
      <c r="H568" s="27"/>
      <c r="I568" s="27"/>
      <c r="J568" s="27"/>
    </row>
    <row r="569">
      <c r="A569" s="3"/>
      <c r="B569" s="27"/>
      <c r="C569" s="27"/>
      <c r="D569" s="27"/>
      <c r="E569" s="27"/>
      <c r="F569" s="30"/>
      <c r="G569" s="27"/>
      <c r="H569" s="27"/>
      <c r="I569" s="27"/>
      <c r="J569" s="27"/>
    </row>
    <row r="570">
      <c r="A570" s="3"/>
      <c r="B570" s="27"/>
      <c r="C570" s="27"/>
      <c r="D570" s="27"/>
      <c r="E570" s="27"/>
      <c r="F570" s="30"/>
      <c r="G570" s="27"/>
      <c r="H570" s="27"/>
      <c r="I570" s="27"/>
      <c r="J570" s="27"/>
    </row>
    <row r="571">
      <c r="A571" s="3"/>
      <c r="B571" s="27"/>
      <c r="C571" s="27"/>
      <c r="D571" s="27"/>
      <c r="E571" s="27"/>
      <c r="F571" s="30"/>
      <c r="G571" s="27"/>
      <c r="H571" s="27"/>
      <c r="I571" s="27"/>
      <c r="J571" s="27"/>
    </row>
    <row r="572">
      <c r="A572" s="3"/>
      <c r="B572" s="27"/>
      <c r="C572" s="27"/>
      <c r="D572" s="27"/>
      <c r="E572" s="27"/>
      <c r="F572" s="30"/>
      <c r="G572" s="27"/>
      <c r="H572" s="27"/>
      <c r="I572" s="27"/>
      <c r="J572" s="27"/>
    </row>
    <row r="573">
      <c r="A573" s="3"/>
      <c r="B573" s="27"/>
      <c r="C573" s="27"/>
      <c r="D573" s="27"/>
      <c r="E573" s="27"/>
      <c r="F573" s="30"/>
      <c r="G573" s="27"/>
      <c r="H573" s="27"/>
      <c r="I573" s="27"/>
      <c r="J573" s="27"/>
    </row>
    <row r="574">
      <c r="A574" s="3"/>
      <c r="B574" s="27"/>
      <c r="C574" s="27"/>
      <c r="D574" s="27"/>
      <c r="E574" s="27"/>
      <c r="F574" s="30"/>
      <c r="G574" s="27"/>
      <c r="H574" s="27"/>
      <c r="I574" s="27"/>
      <c r="J574" s="27"/>
    </row>
    <row r="575">
      <c r="A575" s="3"/>
      <c r="B575" s="27"/>
      <c r="C575" s="27"/>
      <c r="D575" s="27"/>
      <c r="E575" s="27"/>
      <c r="F575" s="30"/>
      <c r="G575" s="27"/>
      <c r="H575" s="27"/>
      <c r="I575" s="27"/>
      <c r="J575" s="27"/>
    </row>
    <row r="576">
      <c r="A576" s="3"/>
      <c r="B576" s="27"/>
      <c r="C576" s="27"/>
      <c r="D576" s="27"/>
      <c r="E576" s="27"/>
      <c r="F576" s="30"/>
      <c r="G576" s="27"/>
      <c r="H576" s="27"/>
      <c r="I576" s="27"/>
      <c r="J576" s="27"/>
    </row>
    <row r="577">
      <c r="A577" s="3"/>
      <c r="B577" s="27"/>
      <c r="C577" s="27"/>
      <c r="D577" s="27"/>
      <c r="E577" s="27"/>
      <c r="F577" s="30"/>
      <c r="G577" s="27"/>
      <c r="H577" s="27"/>
      <c r="I577" s="27"/>
      <c r="J577" s="27"/>
    </row>
    <row r="578">
      <c r="A578" s="3"/>
      <c r="B578" s="27"/>
      <c r="C578" s="27"/>
      <c r="D578" s="27"/>
      <c r="E578" s="27"/>
      <c r="F578" s="30"/>
      <c r="G578" s="27"/>
      <c r="H578" s="27"/>
      <c r="I578" s="27"/>
      <c r="J578" s="27"/>
    </row>
    <row r="579">
      <c r="A579" s="3"/>
      <c r="B579" s="27"/>
      <c r="C579" s="27"/>
      <c r="D579" s="27"/>
      <c r="E579" s="27"/>
      <c r="F579" s="30"/>
      <c r="G579" s="27"/>
      <c r="H579" s="27"/>
      <c r="I579" s="27"/>
      <c r="J579" s="27"/>
    </row>
    <row r="580">
      <c r="A580" s="3"/>
      <c r="B580" s="27"/>
      <c r="C580" s="27"/>
      <c r="D580" s="27"/>
      <c r="E580" s="27"/>
      <c r="F580" s="30"/>
      <c r="G580" s="27"/>
      <c r="H580" s="27"/>
      <c r="I580" s="27"/>
      <c r="J580" s="27"/>
    </row>
    <row r="581">
      <c r="A581" s="3"/>
      <c r="B581" s="27"/>
      <c r="C581" s="27"/>
      <c r="D581" s="27"/>
      <c r="E581" s="27"/>
      <c r="F581" s="30"/>
      <c r="G581" s="27"/>
      <c r="H581" s="27"/>
      <c r="I581" s="27"/>
      <c r="J581" s="27"/>
    </row>
    <row r="582">
      <c r="A582" s="3"/>
      <c r="B582" s="27"/>
      <c r="C582" s="27"/>
      <c r="D582" s="27"/>
      <c r="E582" s="27"/>
      <c r="F582" s="30"/>
      <c r="G582" s="27"/>
      <c r="H582" s="27"/>
      <c r="I582" s="27"/>
      <c r="J582" s="27"/>
    </row>
    <row r="583">
      <c r="A583" s="3"/>
      <c r="B583" s="27"/>
      <c r="C583" s="27"/>
      <c r="D583" s="27"/>
      <c r="E583" s="27"/>
      <c r="F583" s="30"/>
      <c r="G583" s="27"/>
      <c r="H583" s="27"/>
      <c r="I583" s="27"/>
      <c r="J583" s="27"/>
    </row>
    <row r="584">
      <c r="A584" s="3"/>
      <c r="B584" s="27"/>
      <c r="C584" s="27"/>
      <c r="D584" s="27"/>
      <c r="E584" s="27"/>
      <c r="F584" s="30"/>
      <c r="G584" s="27"/>
      <c r="H584" s="27"/>
      <c r="I584" s="27"/>
      <c r="J584" s="27"/>
    </row>
    <row r="585">
      <c r="A585" s="3"/>
      <c r="B585" s="27"/>
      <c r="C585" s="27"/>
      <c r="D585" s="27"/>
      <c r="E585" s="27"/>
      <c r="F585" s="30"/>
      <c r="G585" s="27"/>
      <c r="H585" s="27"/>
      <c r="I585" s="27"/>
      <c r="J585" s="27"/>
    </row>
    <row r="586">
      <c r="A586" s="3"/>
      <c r="B586" s="27"/>
      <c r="C586" s="27"/>
      <c r="D586" s="27"/>
      <c r="E586" s="27"/>
      <c r="F586" s="30"/>
      <c r="G586" s="27"/>
      <c r="H586" s="27"/>
      <c r="I586" s="27"/>
      <c r="J586" s="27"/>
    </row>
    <row r="587">
      <c r="A587" s="3"/>
      <c r="B587" s="27"/>
      <c r="C587" s="27"/>
      <c r="D587" s="27"/>
      <c r="E587" s="27"/>
      <c r="F587" s="30"/>
      <c r="G587" s="27"/>
      <c r="H587" s="27"/>
      <c r="I587" s="27"/>
      <c r="J587" s="27"/>
    </row>
    <row r="588">
      <c r="A588" s="3"/>
      <c r="B588" s="27"/>
      <c r="C588" s="27"/>
      <c r="D588" s="27"/>
      <c r="E588" s="27"/>
      <c r="F588" s="30"/>
      <c r="G588" s="27"/>
      <c r="H588" s="27"/>
      <c r="I588" s="27"/>
      <c r="J588" s="27"/>
    </row>
    <row r="589">
      <c r="A589" s="3"/>
      <c r="B589" s="27"/>
      <c r="C589" s="27"/>
      <c r="D589" s="27"/>
      <c r="E589" s="27"/>
      <c r="F589" s="30"/>
      <c r="G589" s="27"/>
      <c r="H589" s="27"/>
      <c r="I589" s="27"/>
      <c r="J589" s="27"/>
    </row>
    <row r="590">
      <c r="A590" s="3"/>
      <c r="B590" s="27"/>
      <c r="C590" s="27"/>
      <c r="D590" s="27"/>
      <c r="E590" s="27"/>
      <c r="F590" s="30"/>
      <c r="G590" s="27"/>
      <c r="H590" s="27"/>
      <c r="I590" s="27"/>
      <c r="J590" s="27"/>
    </row>
    <row r="591">
      <c r="A591" s="3"/>
      <c r="B591" s="27"/>
      <c r="C591" s="27"/>
      <c r="D591" s="27"/>
      <c r="E591" s="27"/>
      <c r="F591" s="30"/>
      <c r="G591" s="27"/>
      <c r="H591" s="27"/>
      <c r="I591" s="27"/>
      <c r="J591" s="27"/>
    </row>
    <row r="592">
      <c r="A592" s="3"/>
      <c r="B592" s="27"/>
      <c r="C592" s="27"/>
      <c r="D592" s="27"/>
      <c r="E592" s="27"/>
      <c r="F592" s="30"/>
      <c r="G592" s="27"/>
      <c r="H592" s="27"/>
      <c r="I592" s="27"/>
      <c r="J592" s="27"/>
    </row>
    <row r="593">
      <c r="A593" s="3"/>
      <c r="B593" s="27"/>
      <c r="C593" s="27"/>
      <c r="D593" s="27"/>
      <c r="E593" s="27"/>
      <c r="F593" s="30"/>
      <c r="G593" s="27"/>
      <c r="H593" s="27"/>
      <c r="I593" s="27"/>
      <c r="J593" s="27"/>
    </row>
    <row r="594">
      <c r="A594" s="3"/>
      <c r="B594" s="27"/>
      <c r="C594" s="27"/>
      <c r="D594" s="27"/>
      <c r="E594" s="27"/>
      <c r="F594" s="30"/>
      <c r="G594" s="27"/>
      <c r="H594" s="27"/>
      <c r="I594" s="27"/>
      <c r="J594" s="27"/>
    </row>
    <row r="595">
      <c r="A595" s="3"/>
      <c r="B595" s="27"/>
      <c r="C595" s="27"/>
      <c r="D595" s="27"/>
      <c r="E595" s="27"/>
      <c r="F595" s="30"/>
      <c r="G595" s="27"/>
      <c r="H595" s="27"/>
      <c r="I595" s="27"/>
      <c r="J595" s="27"/>
    </row>
    <row r="596">
      <c r="A596" s="3"/>
      <c r="B596" s="27"/>
      <c r="C596" s="27"/>
      <c r="D596" s="27"/>
      <c r="E596" s="27"/>
      <c r="F596" s="30"/>
      <c r="G596" s="27"/>
      <c r="H596" s="27"/>
      <c r="I596" s="27"/>
      <c r="J596" s="27"/>
    </row>
    <row r="597">
      <c r="A597" s="3"/>
      <c r="B597" s="27"/>
      <c r="C597" s="27"/>
      <c r="D597" s="27"/>
      <c r="E597" s="27"/>
      <c r="F597" s="30"/>
      <c r="G597" s="27"/>
      <c r="H597" s="27"/>
      <c r="I597" s="27"/>
      <c r="J597" s="27"/>
    </row>
    <row r="598">
      <c r="A598" s="3"/>
      <c r="B598" s="27"/>
      <c r="C598" s="27"/>
      <c r="D598" s="27"/>
      <c r="E598" s="27"/>
      <c r="F598" s="30"/>
      <c r="G598" s="27"/>
      <c r="H598" s="27"/>
      <c r="I598" s="27"/>
      <c r="J598" s="27"/>
    </row>
    <row r="599">
      <c r="A599" s="3"/>
      <c r="B599" s="27"/>
      <c r="C599" s="27"/>
      <c r="D599" s="27"/>
      <c r="E599" s="27"/>
      <c r="F599" s="30"/>
      <c r="G599" s="27"/>
      <c r="H599" s="27"/>
      <c r="I599" s="27"/>
      <c r="J599" s="27"/>
    </row>
    <row r="600">
      <c r="A600" s="3"/>
      <c r="B600" s="27"/>
      <c r="C600" s="27"/>
      <c r="D600" s="27"/>
      <c r="E600" s="27"/>
      <c r="F600" s="30"/>
      <c r="G600" s="27"/>
      <c r="H600" s="27"/>
      <c r="I600" s="27"/>
      <c r="J600" s="27"/>
    </row>
    <row r="601">
      <c r="A601" s="3"/>
      <c r="B601" s="27"/>
      <c r="C601" s="27"/>
      <c r="D601" s="27"/>
      <c r="E601" s="27"/>
      <c r="F601" s="30"/>
      <c r="G601" s="27"/>
      <c r="H601" s="27"/>
      <c r="I601" s="27"/>
      <c r="J601" s="27"/>
    </row>
    <row r="602">
      <c r="A602" s="3"/>
      <c r="B602" s="27"/>
      <c r="C602" s="27"/>
      <c r="D602" s="27"/>
      <c r="E602" s="27"/>
      <c r="F602" s="30"/>
      <c r="G602" s="27"/>
      <c r="H602" s="27"/>
      <c r="I602" s="27"/>
      <c r="J602" s="27"/>
    </row>
    <row r="603">
      <c r="A603" s="3"/>
      <c r="B603" s="27"/>
      <c r="C603" s="27"/>
      <c r="D603" s="27"/>
      <c r="E603" s="27"/>
      <c r="F603" s="30"/>
      <c r="G603" s="27"/>
      <c r="H603" s="27"/>
      <c r="I603" s="27"/>
      <c r="J603" s="27"/>
    </row>
    <row r="604">
      <c r="A604" s="3"/>
      <c r="B604" s="27"/>
      <c r="C604" s="27"/>
      <c r="D604" s="27"/>
      <c r="E604" s="27"/>
      <c r="F604" s="30"/>
      <c r="G604" s="27"/>
      <c r="H604" s="27"/>
      <c r="I604" s="27"/>
      <c r="J604" s="27"/>
    </row>
    <row r="605">
      <c r="A605" s="3"/>
      <c r="B605" s="27"/>
      <c r="C605" s="27"/>
      <c r="D605" s="27"/>
      <c r="E605" s="27"/>
      <c r="F605" s="30"/>
      <c r="G605" s="27"/>
      <c r="H605" s="27"/>
      <c r="I605" s="27"/>
      <c r="J605" s="27"/>
    </row>
    <row r="606">
      <c r="A606" s="3"/>
      <c r="B606" s="27"/>
      <c r="C606" s="27"/>
      <c r="D606" s="27"/>
      <c r="E606" s="27"/>
      <c r="F606" s="30"/>
      <c r="G606" s="27"/>
      <c r="H606" s="27"/>
      <c r="I606" s="27"/>
      <c r="J606" s="27"/>
    </row>
    <row r="607">
      <c r="A607" s="3"/>
      <c r="B607" s="27"/>
      <c r="C607" s="27"/>
      <c r="D607" s="27"/>
      <c r="E607" s="27"/>
      <c r="F607" s="30"/>
      <c r="G607" s="27"/>
      <c r="H607" s="27"/>
      <c r="I607" s="27"/>
      <c r="J607" s="27"/>
    </row>
    <row r="608">
      <c r="A608" s="3"/>
      <c r="B608" s="27"/>
      <c r="C608" s="27"/>
      <c r="D608" s="27"/>
      <c r="E608" s="27"/>
      <c r="F608" s="30"/>
      <c r="G608" s="27"/>
      <c r="H608" s="27"/>
      <c r="I608" s="27"/>
      <c r="J608" s="27"/>
    </row>
    <row r="609">
      <c r="A609" s="3"/>
      <c r="B609" s="27"/>
      <c r="C609" s="27"/>
      <c r="D609" s="27"/>
      <c r="E609" s="27"/>
      <c r="F609" s="30"/>
      <c r="G609" s="27"/>
      <c r="H609" s="27"/>
      <c r="I609" s="27"/>
      <c r="J609" s="27"/>
    </row>
    <row r="610">
      <c r="A610" s="3"/>
      <c r="B610" s="27"/>
      <c r="C610" s="27"/>
      <c r="D610" s="27"/>
      <c r="E610" s="27"/>
      <c r="F610" s="30"/>
      <c r="G610" s="27"/>
      <c r="H610" s="27"/>
      <c r="I610" s="27"/>
      <c r="J610" s="27"/>
    </row>
    <row r="611">
      <c r="A611" s="3"/>
      <c r="B611" s="27"/>
      <c r="C611" s="27"/>
      <c r="D611" s="27"/>
      <c r="E611" s="27"/>
      <c r="F611" s="30"/>
      <c r="G611" s="27"/>
      <c r="H611" s="27"/>
      <c r="I611" s="27"/>
      <c r="J611" s="27"/>
    </row>
    <row r="612">
      <c r="A612" s="3"/>
      <c r="B612" s="27"/>
      <c r="C612" s="27"/>
      <c r="D612" s="27"/>
      <c r="E612" s="27"/>
      <c r="F612" s="30"/>
      <c r="G612" s="27"/>
      <c r="H612" s="27"/>
      <c r="I612" s="27"/>
      <c r="J612" s="27"/>
    </row>
    <row r="613">
      <c r="A613" s="3"/>
      <c r="B613" s="27"/>
      <c r="C613" s="27"/>
      <c r="D613" s="27"/>
      <c r="E613" s="27"/>
      <c r="F613" s="30"/>
      <c r="G613" s="27"/>
      <c r="H613" s="27"/>
      <c r="I613" s="27"/>
      <c r="J613" s="27"/>
    </row>
    <row r="614">
      <c r="A614" s="3"/>
      <c r="B614" s="27"/>
      <c r="C614" s="27"/>
      <c r="D614" s="27"/>
      <c r="E614" s="27"/>
      <c r="F614" s="30"/>
      <c r="G614" s="27"/>
      <c r="H614" s="27"/>
      <c r="I614" s="27"/>
      <c r="J614" s="27"/>
    </row>
    <row r="615">
      <c r="A615" s="3"/>
      <c r="B615" s="27"/>
      <c r="C615" s="27"/>
      <c r="D615" s="27"/>
      <c r="E615" s="27"/>
      <c r="F615" s="30"/>
      <c r="G615" s="27"/>
      <c r="H615" s="27"/>
      <c r="I615" s="27"/>
      <c r="J615" s="27"/>
    </row>
    <row r="616">
      <c r="A616" s="3"/>
      <c r="B616" s="27"/>
      <c r="C616" s="27"/>
      <c r="D616" s="27"/>
      <c r="E616" s="27"/>
      <c r="F616" s="30"/>
      <c r="G616" s="27"/>
      <c r="H616" s="27"/>
      <c r="I616" s="27"/>
      <c r="J616" s="27"/>
    </row>
    <row r="617">
      <c r="A617" s="3"/>
      <c r="B617" s="27"/>
      <c r="C617" s="27"/>
      <c r="D617" s="27"/>
      <c r="E617" s="27"/>
      <c r="F617" s="30"/>
      <c r="G617" s="27"/>
      <c r="H617" s="27"/>
      <c r="I617" s="27"/>
      <c r="J617" s="27"/>
    </row>
    <row r="618">
      <c r="A618" s="3"/>
      <c r="B618" s="27"/>
      <c r="C618" s="27"/>
      <c r="D618" s="27"/>
      <c r="E618" s="27"/>
      <c r="F618" s="30"/>
      <c r="G618" s="27"/>
      <c r="H618" s="27"/>
      <c r="I618" s="27"/>
      <c r="J618" s="27"/>
    </row>
    <row r="619">
      <c r="A619" s="3"/>
      <c r="B619" s="27"/>
      <c r="C619" s="27"/>
      <c r="D619" s="27"/>
      <c r="E619" s="27"/>
      <c r="F619" s="30"/>
      <c r="G619" s="27"/>
      <c r="H619" s="27"/>
      <c r="I619" s="27"/>
      <c r="J619" s="27"/>
    </row>
    <row r="620">
      <c r="A620" s="3"/>
      <c r="B620" s="27"/>
      <c r="C620" s="27"/>
      <c r="D620" s="27"/>
      <c r="E620" s="27"/>
      <c r="F620" s="30"/>
      <c r="G620" s="27"/>
      <c r="H620" s="27"/>
      <c r="I620" s="27"/>
      <c r="J620" s="27"/>
    </row>
    <row r="621">
      <c r="A621" s="3"/>
      <c r="B621" s="27"/>
      <c r="C621" s="27"/>
      <c r="D621" s="27"/>
      <c r="E621" s="27"/>
      <c r="F621" s="30"/>
      <c r="G621" s="27"/>
      <c r="H621" s="27"/>
      <c r="I621" s="27"/>
      <c r="J621" s="27"/>
    </row>
    <row r="622">
      <c r="A622" s="3"/>
      <c r="B622" s="27"/>
      <c r="C622" s="27"/>
      <c r="D622" s="27"/>
      <c r="E622" s="27"/>
      <c r="F622" s="30"/>
      <c r="G622" s="27"/>
      <c r="H622" s="27"/>
      <c r="I622" s="27"/>
      <c r="J622" s="27"/>
    </row>
    <row r="623">
      <c r="A623" s="3"/>
      <c r="B623" s="27"/>
      <c r="C623" s="27"/>
      <c r="D623" s="27"/>
      <c r="E623" s="27"/>
      <c r="F623" s="30"/>
      <c r="G623" s="27"/>
      <c r="H623" s="27"/>
      <c r="I623" s="27"/>
      <c r="J623" s="27"/>
    </row>
    <row r="624">
      <c r="A624" s="3"/>
      <c r="B624" s="27"/>
      <c r="C624" s="27"/>
      <c r="D624" s="27"/>
      <c r="E624" s="27"/>
      <c r="F624" s="30"/>
      <c r="G624" s="27"/>
      <c r="H624" s="27"/>
      <c r="I624" s="27"/>
      <c r="J624" s="27"/>
    </row>
    <row r="625">
      <c r="A625" s="3"/>
      <c r="B625" s="27"/>
      <c r="C625" s="27"/>
      <c r="D625" s="27"/>
      <c r="E625" s="27"/>
      <c r="F625" s="30"/>
      <c r="G625" s="27"/>
      <c r="H625" s="27"/>
      <c r="I625" s="27"/>
      <c r="J625" s="27"/>
    </row>
    <row r="626">
      <c r="A626" s="3"/>
      <c r="B626" s="27"/>
      <c r="C626" s="27"/>
      <c r="D626" s="27"/>
      <c r="E626" s="27"/>
      <c r="F626" s="30"/>
      <c r="G626" s="27"/>
      <c r="H626" s="27"/>
      <c r="I626" s="27"/>
      <c r="J626" s="27"/>
    </row>
    <row r="627">
      <c r="A627" s="3"/>
      <c r="B627" s="27"/>
      <c r="C627" s="27"/>
      <c r="D627" s="27"/>
      <c r="E627" s="27"/>
      <c r="F627" s="30"/>
      <c r="G627" s="27"/>
      <c r="H627" s="27"/>
      <c r="I627" s="27"/>
      <c r="J627" s="27"/>
    </row>
    <row r="628">
      <c r="A628" s="3"/>
      <c r="B628" s="27"/>
      <c r="C628" s="27"/>
      <c r="D628" s="27"/>
      <c r="E628" s="27"/>
      <c r="F628" s="30"/>
      <c r="G628" s="27"/>
      <c r="H628" s="27"/>
      <c r="I628" s="27"/>
      <c r="J628" s="27"/>
    </row>
    <row r="629">
      <c r="A629" s="3"/>
      <c r="B629" s="27"/>
      <c r="C629" s="27"/>
      <c r="D629" s="27"/>
      <c r="E629" s="27"/>
      <c r="F629" s="30"/>
      <c r="G629" s="27"/>
      <c r="H629" s="27"/>
      <c r="I629" s="27"/>
      <c r="J629" s="27"/>
    </row>
    <row r="630">
      <c r="A630" s="3"/>
      <c r="B630" s="27"/>
      <c r="C630" s="27"/>
      <c r="D630" s="27"/>
      <c r="E630" s="27"/>
      <c r="F630" s="30"/>
      <c r="G630" s="27"/>
      <c r="H630" s="27"/>
      <c r="I630" s="27"/>
      <c r="J630" s="27"/>
    </row>
    <row r="631">
      <c r="A631" s="3"/>
      <c r="B631" s="27"/>
      <c r="C631" s="27"/>
      <c r="D631" s="27"/>
      <c r="E631" s="27"/>
      <c r="F631" s="30"/>
      <c r="G631" s="27"/>
      <c r="H631" s="27"/>
      <c r="I631" s="27"/>
      <c r="J631" s="27"/>
    </row>
    <row r="632">
      <c r="A632" s="3"/>
      <c r="B632" s="27"/>
      <c r="C632" s="27"/>
      <c r="D632" s="27"/>
      <c r="E632" s="27"/>
      <c r="F632" s="30"/>
      <c r="G632" s="27"/>
      <c r="H632" s="27"/>
      <c r="I632" s="27"/>
      <c r="J632" s="27"/>
    </row>
    <row r="633">
      <c r="A633" s="3"/>
      <c r="B633" s="27"/>
      <c r="C633" s="27"/>
      <c r="D633" s="27"/>
      <c r="E633" s="27"/>
      <c r="F633" s="30"/>
      <c r="G633" s="27"/>
      <c r="H633" s="27"/>
      <c r="I633" s="27"/>
      <c r="J633" s="27"/>
    </row>
    <row r="634">
      <c r="A634" s="3"/>
      <c r="B634" s="27"/>
      <c r="C634" s="27"/>
      <c r="D634" s="27"/>
      <c r="E634" s="27"/>
      <c r="F634" s="30"/>
      <c r="G634" s="27"/>
      <c r="H634" s="27"/>
      <c r="I634" s="27"/>
      <c r="J634" s="27"/>
    </row>
    <row r="635">
      <c r="A635" s="3"/>
      <c r="B635" s="27"/>
      <c r="C635" s="27"/>
      <c r="D635" s="27"/>
      <c r="E635" s="27"/>
      <c r="F635" s="30"/>
      <c r="G635" s="27"/>
      <c r="H635" s="27"/>
      <c r="I635" s="27"/>
      <c r="J635" s="27"/>
    </row>
    <row r="636">
      <c r="A636" s="3"/>
      <c r="B636" s="27"/>
      <c r="C636" s="27"/>
      <c r="D636" s="27"/>
      <c r="E636" s="27"/>
      <c r="F636" s="30"/>
      <c r="G636" s="27"/>
      <c r="H636" s="27"/>
      <c r="I636" s="27"/>
      <c r="J636" s="27"/>
    </row>
    <row r="637">
      <c r="A637" s="3"/>
      <c r="B637" s="27"/>
      <c r="C637" s="27"/>
      <c r="D637" s="27"/>
      <c r="E637" s="27"/>
      <c r="F637" s="30"/>
      <c r="G637" s="27"/>
      <c r="H637" s="27"/>
      <c r="I637" s="27"/>
      <c r="J637" s="27"/>
    </row>
    <row r="638">
      <c r="A638" s="3"/>
      <c r="B638" s="27"/>
      <c r="C638" s="27"/>
      <c r="D638" s="27"/>
      <c r="E638" s="27"/>
      <c r="F638" s="30"/>
      <c r="G638" s="27"/>
      <c r="H638" s="27"/>
      <c r="I638" s="27"/>
      <c r="J638" s="27"/>
    </row>
    <row r="639">
      <c r="A639" s="3"/>
      <c r="B639" s="27"/>
      <c r="C639" s="27"/>
      <c r="D639" s="27"/>
      <c r="E639" s="27"/>
      <c r="F639" s="30"/>
      <c r="G639" s="27"/>
      <c r="H639" s="27"/>
      <c r="I639" s="27"/>
      <c r="J639" s="27"/>
    </row>
    <row r="640">
      <c r="A640" s="3"/>
      <c r="B640" s="27"/>
      <c r="C640" s="27"/>
      <c r="D640" s="27"/>
      <c r="E640" s="27"/>
      <c r="F640" s="30"/>
      <c r="G640" s="27"/>
      <c r="H640" s="27"/>
      <c r="I640" s="27"/>
      <c r="J640" s="27"/>
    </row>
    <row r="641">
      <c r="A641" s="3"/>
      <c r="B641" s="27"/>
      <c r="C641" s="27"/>
      <c r="D641" s="27"/>
      <c r="E641" s="27"/>
      <c r="F641" s="30"/>
      <c r="G641" s="27"/>
      <c r="H641" s="27"/>
      <c r="I641" s="27"/>
      <c r="J641" s="27"/>
    </row>
    <row r="642">
      <c r="A642" s="3"/>
      <c r="B642" s="27"/>
      <c r="C642" s="27"/>
      <c r="D642" s="27"/>
      <c r="E642" s="27"/>
      <c r="F642" s="30"/>
      <c r="G642" s="27"/>
      <c r="H642" s="27"/>
      <c r="I642" s="27"/>
      <c r="J642" s="27"/>
    </row>
    <row r="643">
      <c r="A643" s="3"/>
      <c r="B643" s="27"/>
      <c r="C643" s="27"/>
      <c r="D643" s="27"/>
      <c r="E643" s="27"/>
      <c r="F643" s="30"/>
      <c r="G643" s="27"/>
      <c r="H643" s="27"/>
      <c r="I643" s="27"/>
      <c r="J643" s="27"/>
    </row>
    <row r="644">
      <c r="A644" s="3"/>
      <c r="B644" s="27"/>
      <c r="C644" s="27"/>
      <c r="D644" s="27"/>
      <c r="E644" s="27"/>
      <c r="F644" s="30"/>
      <c r="G644" s="27"/>
      <c r="H644" s="27"/>
      <c r="I644" s="27"/>
      <c r="J644" s="27"/>
    </row>
    <row r="645">
      <c r="A645" s="3"/>
      <c r="B645" s="27"/>
      <c r="C645" s="27"/>
      <c r="D645" s="27"/>
      <c r="E645" s="27"/>
      <c r="F645" s="30"/>
      <c r="G645" s="27"/>
      <c r="H645" s="27"/>
      <c r="I645" s="27"/>
      <c r="J645" s="27"/>
    </row>
    <row r="646">
      <c r="A646" s="3"/>
      <c r="B646" s="27"/>
      <c r="C646" s="27"/>
      <c r="D646" s="27"/>
      <c r="E646" s="27"/>
      <c r="F646" s="30"/>
      <c r="G646" s="27"/>
      <c r="H646" s="27"/>
      <c r="I646" s="27"/>
      <c r="J646" s="27"/>
    </row>
    <row r="647">
      <c r="A647" s="3"/>
      <c r="B647" s="27"/>
      <c r="C647" s="27"/>
      <c r="D647" s="27"/>
      <c r="E647" s="27"/>
      <c r="F647" s="30"/>
      <c r="G647" s="27"/>
      <c r="H647" s="27"/>
      <c r="I647" s="27"/>
      <c r="J647" s="27"/>
    </row>
    <row r="648">
      <c r="A648" s="3"/>
      <c r="B648" s="27"/>
      <c r="C648" s="27"/>
      <c r="D648" s="27"/>
      <c r="E648" s="27"/>
      <c r="F648" s="30"/>
      <c r="G648" s="27"/>
      <c r="H648" s="27"/>
      <c r="I648" s="27"/>
      <c r="J648" s="27"/>
    </row>
    <row r="649">
      <c r="A649" s="3"/>
      <c r="B649" s="27"/>
      <c r="C649" s="27"/>
      <c r="D649" s="27"/>
      <c r="E649" s="27"/>
      <c r="F649" s="30"/>
      <c r="G649" s="27"/>
      <c r="H649" s="27"/>
      <c r="I649" s="27"/>
      <c r="J649" s="27"/>
    </row>
    <row r="650">
      <c r="A650" s="3"/>
      <c r="B650" s="27"/>
      <c r="C650" s="27"/>
      <c r="D650" s="27"/>
      <c r="E650" s="27"/>
      <c r="F650" s="30"/>
      <c r="G650" s="27"/>
      <c r="H650" s="27"/>
      <c r="I650" s="27"/>
      <c r="J650" s="27"/>
    </row>
    <row r="651">
      <c r="A651" s="3"/>
      <c r="B651" s="27"/>
      <c r="C651" s="27"/>
      <c r="D651" s="27"/>
      <c r="E651" s="27"/>
      <c r="F651" s="30"/>
      <c r="G651" s="27"/>
      <c r="H651" s="27"/>
      <c r="I651" s="27"/>
      <c r="J651" s="27"/>
    </row>
    <row r="652">
      <c r="A652" s="3"/>
      <c r="B652" s="27"/>
      <c r="C652" s="27"/>
      <c r="D652" s="27"/>
      <c r="E652" s="27"/>
      <c r="F652" s="30"/>
      <c r="G652" s="27"/>
      <c r="H652" s="27"/>
      <c r="I652" s="27"/>
      <c r="J652" s="27"/>
    </row>
    <row r="653">
      <c r="A653" s="3"/>
      <c r="B653" s="27"/>
      <c r="C653" s="27"/>
      <c r="D653" s="27"/>
      <c r="E653" s="27"/>
      <c r="F653" s="30"/>
      <c r="G653" s="27"/>
      <c r="H653" s="27"/>
      <c r="I653" s="27"/>
      <c r="J653" s="27"/>
    </row>
    <row r="654">
      <c r="A654" s="3"/>
      <c r="B654" s="27"/>
      <c r="C654" s="27"/>
      <c r="D654" s="27"/>
      <c r="E654" s="27"/>
      <c r="F654" s="30"/>
      <c r="G654" s="27"/>
      <c r="H654" s="27"/>
      <c r="I654" s="27"/>
      <c r="J654" s="27"/>
    </row>
    <row r="655">
      <c r="A655" s="3"/>
      <c r="B655" s="27"/>
      <c r="C655" s="27"/>
      <c r="D655" s="27"/>
      <c r="E655" s="27"/>
      <c r="F655" s="30"/>
      <c r="G655" s="27"/>
      <c r="H655" s="27"/>
      <c r="I655" s="27"/>
      <c r="J655" s="27"/>
    </row>
    <row r="656">
      <c r="A656" s="3"/>
      <c r="B656" s="27"/>
      <c r="C656" s="27"/>
      <c r="D656" s="27"/>
      <c r="E656" s="27"/>
      <c r="F656" s="30"/>
      <c r="G656" s="27"/>
      <c r="H656" s="27"/>
      <c r="I656" s="27"/>
      <c r="J656" s="27"/>
    </row>
    <row r="657">
      <c r="A657" s="3"/>
      <c r="B657" s="27"/>
      <c r="C657" s="27"/>
      <c r="D657" s="27"/>
      <c r="E657" s="27"/>
      <c r="F657" s="30"/>
      <c r="G657" s="27"/>
      <c r="H657" s="27"/>
      <c r="I657" s="27"/>
      <c r="J657" s="27"/>
    </row>
    <row r="658">
      <c r="A658" s="3"/>
      <c r="B658" s="27"/>
      <c r="C658" s="27"/>
      <c r="D658" s="27"/>
      <c r="E658" s="27"/>
      <c r="F658" s="30"/>
      <c r="G658" s="27"/>
      <c r="H658" s="27"/>
      <c r="I658" s="27"/>
      <c r="J658" s="27"/>
    </row>
    <row r="659">
      <c r="A659" s="3"/>
      <c r="B659" s="27"/>
      <c r="C659" s="27"/>
      <c r="D659" s="27"/>
      <c r="E659" s="27"/>
      <c r="F659" s="30"/>
      <c r="G659" s="27"/>
      <c r="H659" s="27"/>
      <c r="I659" s="27"/>
      <c r="J659" s="27"/>
    </row>
    <row r="660">
      <c r="A660" s="3"/>
      <c r="B660" s="27"/>
      <c r="C660" s="27"/>
      <c r="D660" s="27"/>
      <c r="E660" s="27"/>
      <c r="F660" s="30"/>
      <c r="G660" s="27"/>
      <c r="H660" s="27"/>
      <c r="I660" s="27"/>
      <c r="J660" s="27"/>
    </row>
    <row r="661">
      <c r="A661" s="3"/>
      <c r="B661" s="27"/>
      <c r="C661" s="27"/>
      <c r="D661" s="27"/>
      <c r="E661" s="27"/>
      <c r="F661" s="30"/>
      <c r="G661" s="27"/>
      <c r="H661" s="27"/>
      <c r="I661" s="27"/>
      <c r="J661" s="27"/>
    </row>
    <row r="662">
      <c r="A662" s="3"/>
      <c r="B662" s="27"/>
      <c r="C662" s="27"/>
      <c r="D662" s="27"/>
      <c r="E662" s="27"/>
      <c r="F662" s="30"/>
      <c r="G662" s="27"/>
      <c r="H662" s="27"/>
      <c r="I662" s="27"/>
      <c r="J662" s="27"/>
    </row>
    <row r="663">
      <c r="A663" s="3"/>
      <c r="B663" s="27"/>
      <c r="C663" s="27"/>
      <c r="D663" s="27"/>
      <c r="E663" s="27"/>
      <c r="F663" s="30"/>
      <c r="G663" s="27"/>
      <c r="H663" s="27"/>
      <c r="I663" s="27"/>
      <c r="J663" s="27"/>
    </row>
    <row r="664">
      <c r="A664" s="3"/>
      <c r="B664" s="27"/>
      <c r="C664" s="27"/>
      <c r="D664" s="27"/>
      <c r="E664" s="27"/>
      <c r="F664" s="30"/>
      <c r="G664" s="27"/>
      <c r="H664" s="27"/>
      <c r="I664" s="27"/>
      <c r="J664" s="27"/>
    </row>
    <row r="665">
      <c r="A665" s="3"/>
      <c r="B665" s="27"/>
      <c r="C665" s="27"/>
      <c r="D665" s="27"/>
      <c r="E665" s="27"/>
      <c r="F665" s="30"/>
      <c r="G665" s="27"/>
      <c r="H665" s="27"/>
      <c r="I665" s="27"/>
      <c r="J665" s="27"/>
    </row>
    <row r="666">
      <c r="A666" s="3"/>
      <c r="B666" s="27"/>
      <c r="C666" s="27"/>
      <c r="D666" s="27"/>
      <c r="E666" s="27"/>
      <c r="F666" s="30"/>
      <c r="G666" s="27"/>
      <c r="H666" s="27"/>
      <c r="I666" s="27"/>
      <c r="J666" s="27"/>
    </row>
    <row r="667">
      <c r="A667" s="3"/>
      <c r="B667" s="27"/>
      <c r="C667" s="27"/>
      <c r="D667" s="27"/>
      <c r="E667" s="27"/>
      <c r="F667" s="30"/>
      <c r="G667" s="27"/>
      <c r="H667" s="27"/>
      <c r="I667" s="27"/>
      <c r="J667" s="27"/>
    </row>
    <row r="668">
      <c r="A668" s="3"/>
      <c r="B668" s="27"/>
      <c r="C668" s="27"/>
      <c r="D668" s="27"/>
      <c r="E668" s="27"/>
      <c r="F668" s="30"/>
      <c r="G668" s="27"/>
      <c r="H668" s="27"/>
      <c r="I668" s="27"/>
      <c r="J668" s="27"/>
    </row>
    <row r="669">
      <c r="A669" s="3"/>
      <c r="B669" s="27"/>
      <c r="C669" s="27"/>
      <c r="D669" s="27"/>
      <c r="E669" s="27"/>
      <c r="F669" s="30"/>
      <c r="G669" s="27"/>
      <c r="H669" s="27"/>
      <c r="I669" s="27"/>
      <c r="J669" s="27"/>
    </row>
    <row r="670">
      <c r="A670" s="3"/>
      <c r="B670" s="27"/>
      <c r="C670" s="27"/>
      <c r="D670" s="27"/>
      <c r="E670" s="27"/>
      <c r="F670" s="30"/>
      <c r="G670" s="27"/>
      <c r="H670" s="27"/>
      <c r="I670" s="27"/>
      <c r="J670" s="27"/>
    </row>
    <row r="671">
      <c r="A671" s="3"/>
      <c r="B671" s="27"/>
      <c r="C671" s="27"/>
      <c r="D671" s="27"/>
      <c r="E671" s="27"/>
      <c r="F671" s="30"/>
      <c r="G671" s="27"/>
      <c r="H671" s="27"/>
      <c r="I671" s="27"/>
      <c r="J671" s="27"/>
    </row>
    <row r="672">
      <c r="A672" s="3"/>
      <c r="B672" s="27"/>
      <c r="C672" s="27"/>
      <c r="D672" s="27"/>
      <c r="E672" s="27"/>
      <c r="F672" s="30"/>
      <c r="G672" s="27"/>
      <c r="H672" s="27"/>
      <c r="I672" s="27"/>
      <c r="J672" s="27"/>
    </row>
    <row r="673">
      <c r="A673" s="3"/>
      <c r="B673" s="27"/>
      <c r="C673" s="27"/>
      <c r="D673" s="27"/>
      <c r="E673" s="27"/>
      <c r="F673" s="30"/>
      <c r="G673" s="27"/>
      <c r="H673" s="27"/>
      <c r="I673" s="27"/>
      <c r="J673" s="27"/>
    </row>
    <row r="674">
      <c r="A674" s="3"/>
      <c r="B674" s="27"/>
      <c r="C674" s="27"/>
      <c r="D674" s="27"/>
      <c r="E674" s="27"/>
      <c r="F674" s="30"/>
      <c r="G674" s="27"/>
      <c r="H674" s="27"/>
      <c r="I674" s="27"/>
      <c r="J674" s="27"/>
    </row>
    <row r="675">
      <c r="A675" s="3"/>
      <c r="B675" s="27"/>
      <c r="C675" s="27"/>
      <c r="D675" s="27"/>
      <c r="E675" s="27"/>
      <c r="F675" s="30"/>
      <c r="G675" s="27"/>
      <c r="H675" s="27"/>
      <c r="I675" s="27"/>
      <c r="J675" s="27"/>
    </row>
    <row r="676">
      <c r="A676" s="3"/>
      <c r="B676" s="27"/>
      <c r="C676" s="27"/>
      <c r="D676" s="27"/>
      <c r="E676" s="27"/>
      <c r="F676" s="30"/>
      <c r="G676" s="27"/>
      <c r="H676" s="27"/>
      <c r="I676" s="27"/>
      <c r="J676" s="27"/>
    </row>
    <row r="677">
      <c r="A677" s="3"/>
      <c r="B677" s="27"/>
      <c r="C677" s="27"/>
      <c r="D677" s="27"/>
      <c r="E677" s="27"/>
      <c r="F677" s="30"/>
      <c r="G677" s="27"/>
      <c r="H677" s="27"/>
      <c r="I677" s="27"/>
      <c r="J677" s="27"/>
    </row>
    <row r="678">
      <c r="A678" s="3"/>
      <c r="B678" s="27"/>
      <c r="C678" s="27"/>
      <c r="D678" s="27"/>
      <c r="E678" s="27"/>
      <c r="F678" s="30"/>
      <c r="G678" s="27"/>
      <c r="H678" s="27"/>
      <c r="I678" s="27"/>
      <c r="J678" s="27"/>
    </row>
    <row r="679">
      <c r="A679" s="3"/>
      <c r="B679" s="27"/>
      <c r="C679" s="27"/>
      <c r="D679" s="27"/>
      <c r="E679" s="27"/>
      <c r="F679" s="30"/>
      <c r="G679" s="27"/>
      <c r="H679" s="27"/>
      <c r="I679" s="27"/>
      <c r="J679" s="27"/>
    </row>
    <row r="680">
      <c r="A680" s="3"/>
      <c r="B680" s="27"/>
      <c r="C680" s="27"/>
      <c r="D680" s="27"/>
      <c r="E680" s="27"/>
      <c r="F680" s="30"/>
      <c r="G680" s="27"/>
      <c r="H680" s="27"/>
      <c r="I680" s="27"/>
      <c r="J680" s="27"/>
    </row>
    <row r="681">
      <c r="A681" s="3"/>
      <c r="B681" s="27"/>
      <c r="C681" s="27"/>
      <c r="D681" s="27"/>
      <c r="E681" s="27"/>
      <c r="F681" s="30"/>
      <c r="G681" s="27"/>
      <c r="H681" s="27"/>
      <c r="I681" s="27"/>
      <c r="J681" s="27"/>
    </row>
    <row r="682">
      <c r="A682" s="3"/>
      <c r="B682" s="27"/>
      <c r="C682" s="27"/>
      <c r="D682" s="27"/>
      <c r="E682" s="27"/>
      <c r="F682" s="30"/>
      <c r="G682" s="27"/>
      <c r="H682" s="27"/>
      <c r="I682" s="27"/>
      <c r="J682" s="27"/>
    </row>
    <row r="683">
      <c r="A683" s="3"/>
      <c r="B683" s="27"/>
      <c r="C683" s="27"/>
      <c r="D683" s="27"/>
      <c r="E683" s="27"/>
      <c r="F683" s="30"/>
      <c r="G683" s="27"/>
      <c r="H683" s="27"/>
      <c r="I683" s="27"/>
      <c r="J683" s="27"/>
    </row>
    <row r="684">
      <c r="A684" s="3"/>
      <c r="B684" s="27"/>
      <c r="C684" s="27"/>
      <c r="D684" s="27"/>
      <c r="E684" s="27"/>
      <c r="F684" s="30"/>
      <c r="G684" s="27"/>
      <c r="H684" s="27"/>
      <c r="I684" s="27"/>
      <c r="J684" s="27"/>
    </row>
    <row r="685">
      <c r="A685" s="3"/>
      <c r="B685" s="27"/>
      <c r="C685" s="27"/>
      <c r="D685" s="27"/>
      <c r="E685" s="27"/>
      <c r="F685" s="30"/>
      <c r="G685" s="27"/>
      <c r="H685" s="27"/>
      <c r="I685" s="27"/>
      <c r="J685" s="27"/>
    </row>
    <row r="686">
      <c r="A686" s="3"/>
      <c r="B686" s="27"/>
      <c r="C686" s="27"/>
      <c r="D686" s="27"/>
      <c r="E686" s="27"/>
      <c r="F686" s="30"/>
      <c r="G686" s="27"/>
      <c r="H686" s="27"/>
      <c r="I686" s="27"/>
      <c r="J686" s="27"/>
    </row>
    <row r="687">
      <c r="A687" s="3"/>
      <c r="B687" s="27"/>
      <c r="C687" s="27"/>
      <c r="D687" s="27"/>
      <c r="E687" s="27"/>
      <c r="F687" s="30"/>
      <c r="G687" s="27"/>
      <c r="H687" s="27"/>
      <c r="I687" s="27"/>
      <c r="J687" s="27"/>
    </row>
    <row r="688">
      <c r="A688" s="3"/>
      <c r="B688" s="27"/>
      <c r="C688" s="27"/>
      <c r="D688" s="27"/>
      <c r="E688" s="27"/>
      <c r="F688" s="30"/>
      <c r="G688" s="27"/>
      <c r="H688" s="27"/>
      <c r="I688" s="27"/>
      <c r="J688" s="27"/>
    </row>
    <row r="689">
      <c r="A689" s="3"/>
      <c r="B689" s="27"/>
      <c r="C689" s="27"/>
      <c r="D689" s="27"/>
      <c r="E689" s="27"/>
      <c r="F689" s="30"/>
      <c r="G689" s="27"/>
      <c r="H689" s="27"/>
      <c r="I689" s="27"/>
      <c r="J689" s="27"/>
    </row>
    <row r="690">
      <c r="A690" s="3"/>
      <c r="B690" s="27"/>
      <c r="C690" s="27"/>
      <c r="D690" s="27"/>
      <c r="E690" s="27"/>
      <c r="F690" s="30"/>
      <c r="G690" s="27"/>
      <c r="H690" s="27"/>
      <c r="I690" s="27"/>
      <c r="J690" s="27"/>
    </row>
    <row r="691">
      <c r="A691" s="3"/>
      <c r="B691" s="27"/>
      <c r="C691" s="27"/>
      <c r="D691" s="27"/>
      <c r="E691" s="27"/>
      <c r="F691" s="30"/>
      <c r="G691" s="27"/>
      <c r="H691" s="27"/>
      <c r="I691" s="27"/>
      <c r="J691" s="27"/>
    </row>
    <row r="692">
      <c r="A692" s="3"/>
      <c r="B692" s="27"/>
      <c r="C692" s="27"/>
      <c r="D692" s="27"/>
      <c r="E692" s="27"/>
      <c r="F692" s="30"/>
      <c r="G692" s="27"/>
      <c r="H692" s="27"/>
      <c r="I692" s="27"/>
      <c r="J692" s="27"/>
    </row>
    <row r="693">
      <c r="A693" s="3"/>
      <c r="B693" s="27"/>
      <c r="C693" s="27"/>
      <c r="D693" s="27"/>
      <c r="E693" s="27"/>
      <c r="F693" s="30"/>
      <c r="G693" s="27"/>
      <c r="H693" s="27"/>
      <c r="I693" s="27"/>
      <c r="J693" s="27"/>
    </row>
    <row r="694">
      <c r="A694" s="3"/>
      <c r="B694" s="27"/>
      <c r="C694" s="27"/>
      <c r="D694" s="27"/>
      <c r="E694" s="27"/>
      <c r="F694" s="30"/>
      <c r="G694" s="27"/>
      <c r="H694" s="27"/>
      <c r="I694" s="27"/>
      <c r="J694" s="27"/>
    </row>
    <row r="695">
      <c r="A695" s="3"/>
      <c r="B695" s="27"/>
      <c r="C695" s="27"/>
      <c r="D695" s="27"/>
      <c r="E695" s="27"/>
      <c r="F695" s="30"/>
      <c r="G695" s="27"/>
      <c r="H695" s="27"/>
      <c r="I695" s="27"/>
      <c r="J695" s="27"/>
    </row>
    <row r="696">
      <c r="A696" s="3"/>
      <c r="B696" s="27"/>
      <c r="C696" s="27"/>
      <c r="D696" s="27"/>
      <c r="E696" s="27"/>
      <c r="F696" s="30"/>
      <c r="G696" s="27"/>
      <c r="H696" s="27"/>
      <c r="I696" s="27"/>
      <c r="J696" s="27"/>
    </row>
    <row r="697">
      <c r="A697" s="3"/>
      <c r="B697" s="27"/>
      <c r="C697" s="27"/>
      <c r="D697" s="27"/>
      <c r="E697" s="27"/>
      <c r="F697" s="30"/>
      <c r="G697" s="27"/>
      <c r="H697" s="27"/>
      <c r="I697" s="27"/>
      <c r="J697" s="27"/>
    </row>
    <row r="698">
      <c r="A698" s="3"/>
      <c r="B698" s="27"/>
      <c r="C698" s="27"/>
      <c r="D698" s="27"/>
      <c r="E698" s="27"/>
      <c r="F698" s="30"/>
      <c r="G698" s="27"/>
      <c r="H698" s="27"/>
      <c r="I698" s="27"/>
      <c r="J698" s="27"/>
    </row>
    <row r="699">
      <c r="A699" s="3"/>
      <c r="B699" s="27"/>
      <c r="C699" s="27"/>
      <c r="D699" s="27"/>
      <c r="E699" s="27"/>
      <c r="F699" s="30"/>
      <c r="G699" s="27"/>
      <c r="H699" s="27"/>
      <c r="I699" s="27"/>
      <c r="J699" s="27"/>
    </row>
    <row r="700">
      <c r="A700" s="3"/>
      <c r="B700" s="27"/>
      <c r="C700" s="27"/>
      <c r="D700" s="27"/>
      <c r="E700" s="27"/>
      <c r="F700" s="30"/>
      <c r="G700" s="27"/>
      <c r="H700" s="27"/>
      <c r="I700" s="27"/>
      <c r="J700" s="27"/>
    </row>
    <row r="701">
      <c r="A701" s="3"/>
      <c r="B701" s="27"/>
      <c r="C701" s="27"/>
      <c r="D701" s="27"/>
      <c r="E701" s="27"/>
      <c r="F701" s="30"/>
      <c r="G701" s="27"/>
      <c r="H701" s="27"/>
      <c r="I701" s="27"/>
      <c r="J701" s="27"/>
    </row>
    <row r="702">
      <c r="A702" s="3"/>
      <c r="B702" s="27"/>
      <c r="C702" s="27"/>
      <c r="D702" s="27"/>
      <c r="E702" s="27"/>
      <c r="F702" s="30"/>
      <c r="G702" s="27"/>
      <c r="H702" s="27"/>
      <c r="I702" s="27"/>
      <c r="J702" s="27"/>
    </row>
    <row r="703">
      <c r="A703" s="3"/>
      <c r="B703" s="27"/>
      <c r="C703" s="27"/>
      <c r="D703" s="27"/>
      <c r="E703" s="27"/>
      <c r="F703" s="30"/>
      <c r="G703" s="27"/>
      <c r="H703" s="27"/>
      <c r="I703" s="27"/>
      <c r="J703" s="27"/>
    </row>
    <row r="704">
      <c r="A704" s="3"/>
      <c r="B704" s="27"/>
      <c r="C704" s="27"/>
      <c r="D704" s="27"/>
      <c r="E704" s="27"/>
      <c r="F704" s="30"/>
      <c r="G704" s="27"/>
      <c r="H704" s="27"/>
      <c r="I704" s="27"/>
      <c r="J704" s="27"/>
    </row>
    <row r="705">
      <c r="A705" s="3"/>
      <c r="B705" s="27"/>
      <c r="C705" s="27"/>
      <c r="D705" s="27"/>
      <c r="E705" s="27"/>
      <c r="F705" s="30"/>
      <c r="G705" s="27"/>
      <c r="H705" s="27"/>
      <c r="I705" s="27"/>
      <c r="J705" s="27"/>
    </row>
    <row r="706">
      <c r="A706" s="3"/>
      <c r="B706" s="27"/>
      <c r="C706" s="27"/>
      <c r="D706" s="27"/>
      <c r="E706" s="27"/>
      <c r="F706" s="30"/>
      <c r="G706" s="27"/>
      <c r="H706" s="27"/>
      <c r="I706" s="27"/>
      <c r="J706" s="27"/>
    </row>
    <row r="707">
      <c r="A707" s="3"/>
      <c r="B707" s="27"/>
      <c r="C707" s="27"/>
      <c r="D707" s="27"/>
      <c r="E707" s="27"/>
      <c r="F707" s="30"/>
      <c r="G707" s="27"/>
      <c r="H707" s="27"/>
      <c r="I707" s="27"/>
      <c r="J707" s="27"/>
    </row>
    <row r="708">
      <c r="A708" s="3"/>
      <c r="B708" s="27"/>
      <c r="C708" s="27"/>
      <c r="D708" s="27"/>
      <c r="E708" s="27"/>
      <c r="F708" s="30"/>
      <c r="G708" s="27"/>
      <c r="H708" s="27"/>
      <c r="I708" s="27"/>
      <c r="J708" s="27"/>
    </row>
    <row r="709">
      <c r="A709" s="3"/>
      <c r="B709" s="27"/>
      <c r="C709" s="27"/>
      <c r="D709" s="27"/>
      <c r="E709" s="27"/>
      <c r="F709" s="30"/>
      <c r="G709" s="27"/>
      <c r="H709" s="27"/>
      <c r="I709" s="27"/>
      <c r="J709" s="27"/>
    </row>
    <row r="710">
      <c r="A710" s="3"/>
      <c r="B710" s="27"/>
      <c r="C710" s="27"/>
      <c r="D710" s="27"/>
      <c r="E710" s="27"/>
      <c r="F710" s="30"/>
      <c r="G710" s="27"/>
      <c r="H710" s="27"/>
      <c r="I710" s="27"/>
      <c r="J710" s="27"/>
    </row>
    <row r="711">
      <c r="A711" s="3"/>
      <c r="B711" s="27"/>
      <c r="C711" s="27"/>
      <c r="D711" s="27"/>
      <c r="E711" s="27"/>
      <c r="F711" s="30"/>
      <c r="G711" s="27"/>
      <c r="H711" s="27"/>
      <c r="I711" s="27"/>
      <c r="J711" s="27"/>
    </row>
    <row r="712">
      <c r="A712" s="3"/>
      <c r="B712" s="27"/>
      <c r="C712" s="27"/>
      <c r="D712" s="27"/>
      <c r="E712" s="27"/>
      <c r="F712" s="30"/>
      <c r="G712" s="27"/>
      <c r="H712" s="27"/>
      <c r="I712" s="27"/>
      <c r="J712" s="27"/>
    </row>
    <row r="713">
      <c r="A713" s="3"/>
      <c r="B713" s="27"/>
      <c r="C713" s="27"/>
      <c r="D713" s="27"/>
      <c r="E713" s="27"/>
      <c r="F713" s="30"/>
      <c r="G713" s="27"/>
      <c r="H713" s="27"/>
      <c r="I713" s="27"/>
      <c r="J713" s="27"/>
    </row>
    <row r="714">
      <c r="A714" s="3"/>
      <c r="B714" s="27"/>
      <c r="C714" s="27"/>
      <c r="D714" s="27"/>
      <c r="E714" s="27"/>
      <c r="F714" s="30"/>
      <c r="G714" s="27"/>
      <c r="H714" s="27"/>
      <c r="I714" s="27"/>
      <c r="J714" s="27"/>
    </row>
    <row r="715">
      <c r="A715" s="3"/>
      <c r="B715" s="27"/>
      <c r="C715" s="27"/>
      <c r="D715" s="27"/>
      <c r="E715" s="27"/>
      <c r="F715" s="30"/>
      <c r="G715" s="27"/>
      <c r="H715" s="27"/>
      <c r="I715" s="27"/>
      <c r="J715" s="27"/>
    </row>
    <row r="716">
      <c r="A716" s="3"/>
      <c r="B716" s="27"/>
      <c r="C716" s="27"/>
      <c r="D716" s="27"/>
      <c r="E716" s="27"/>
      <c r="F716" s="30"/>
      <c r="G716" s="27"/>
      <c r="H716" s="27"/>
      <c r="I716" s="27"/>
      <c r="J716" s="27"/>
    </row>
    <row r="717">
      <c r="A717" s="3"/>
      <c r="B717" s="27"/>
      <c r="C717" s="27"/>
      <c r="D717" s="27"/>
      <c r="E717" s="27"/>
      <c r="F717" s="30"/>
      <c r="G717" s="27"/>
      <c r="H717" s="27"/>
      <c r="I717" s="27"/>
      <c r="J717" s="27"/>
    </row>
    <row r="718">
      <c r="A718" s="3"/>
      <c r="B718" s="27"/>
      <c r="C718" s="27"/>
      <c r="D718" s="27"/>
      <c r="E718" s="27"/>
      <c r="F718" s="30"/>
      <c r="G718" s="27"/>
      <c r="H718" s="27"/>
      <c r="I718" s="27"/>
      <c r="J718" s="27"/>
    </row>
    <row r="719">
      <c r="A719" s="3"/>
      <c r="B719" s="27"/>
      <c r="C719" s="27"/>
      <c r="D719" s="27"/>
      <c r="E719" s="27"/>
      <c r="F719" s="30"/>
      <c r="G719" s="27"/>
      <c r="H719" s="27"/>
      <c r="I719" s="27"/>
      <c r="J719" s="27"/>
    </row>
    <row r="720">
      <c r="A720" s="3"/>
      <c r="B720" s="27"/>
      <c r="C720" s="27"/>
      <c r="D720" s="27"/>
      <c r="E720" s="27"/>
      <c r="F720" s="30"/>
      <c r="G720" s="27"/>
      <c r="H720" s="27"/>
      <c r="I720" s="27"/>
      <c r="J720" s="27"/>
    </row>
    <row r="721">
      <c r="A721" s="3"/>
      <c r="B721" s="27"/>
      <c r="C721" s="27"/>
      <c r="D721" s="27"/>
      <c r="E721" s="27"/>
      <c r="F721" s="30"/>
      <c r="G721" s="27"/>
      <c r="H721" s="27"/>
      <c r="I721" s="27"/>
      <c r="J721" s="27"/>
    </row>
    <row r="722">
      <c r="A722" s="3"/>
      <c r="B722" s="27"/>
      <c r="C722" s="27"/>
      <c r="D722" s="27"/>
      <c r="E722" s="27"/>
      <c r="F722" s="30"/>
      <c r="G722" s="27"/>
      <c r="H722" s="27"/>
      <c r="I722" s="27"/>
      <c r="J722" s="27"/>
    </row>
    <row r="723">
      <c r="A723" s="3"/>
      <c r="B723" s="27"/>
      <c r="C723" s="27"/>
      <c r="D723" s="27"/>
      <c r="E723" s="27"/>
      <c r="F723" s="30"/>
      <c r="G723" s="27"/>
      <c r="H723" s="27"/>
      <c r="I723" s="27"/>
      <c r="J723" s="27"/>
    </row>
    <row r="724">
      <c r="A724" s="3"/>
      <c r="B724" s="27"/>
      <c r="C724" s="27"/>
      <c r="D724" s="27"/>
      <c r="E724" s="27"/>
      <c r="F724" s="30"/>
      <c r="G724" s="27"/>
      <c r="H724" s="27"/>
      <c r="I724" s="27"/>
      <c r="J724" s="27"/>
    </row>
    <row r="725">
      <c r="A725" s="3"/>
      <c r="B725" s="27"/>
      <c r="C725" s="27"/>
      <c r="D725" s="27"/>
      <c r="E725" s="27"/>
      <c r="F725" s="30"/>
      <c r="G725" s="27"/>
      <c r="H725" s="27"/>
      <c r="I725" s="27"/>
      <c r="J725" s="27"/>
    </row>
    <row r="726">
      <c r="A726" s="3"/>
      <c r="B726" s="27"/>
      <c r="C726" s="27"/>
      <c r="D726" s="27"/>
      <c r="E726" s="27"/>
      <c r="F726" s="30"/>
      <c r="G726" s="27"/>
      <c r="H726" s="27"/>
      <c r="I726" s="27"/>
      <c r="J726" s="27"/>
    </row>
    <row r="727">
      <c r="A727" s="3"/>
      <c r="B727" s="27"/>
      <c r="C727" s="27"/>
      <c r="D727" s="27"/>
      <c r="E727" s="27"/>
      <c r="F727" s="30"/>
      <c r="G727" s="27"/>
      <c r="H727" s="27"/>
      <c r="I727" s="27"/>
      <c r="J727" s="27"/>
    </row>
    <row r="728">
      <c r="A728" s="3"/>
      <c r="B728" s="27"/>
      <c r="C728" s="27"/>
      <c r="D728" s="27"/>
      <c r="E728" s="27"/>
      <c r="F728" s="30"/>
      <c r="G728" s="27"/>
      <c r="H728" s="27"/>
      <c r="I728" s="27"/>
      <c r="J728" s="27"/>
    </row>
    <row r="729">
      <c r="A729" s="3"/>
      <c r="B729" s="27"/>
      <c r="C729" s="27"/>
      <c r="D729" s="27"/>
      <c r="E729" s="27"/>
      <c r="F729" s="30"/>
      <c r="G729" s="27"/>
      <c r="H729" s="27"/>
      <c r="I729" s="27"/>
      <c r="J729" s="27"/>
    </row>
    <row r="730">
      <c r="A730" s="3"/>
      <c r="B730" s="27"/>
      <c r="C730" s="27"/>
      <c r="D730" s="27"/>
      <c r="E730" s="27"/>
      <c r="F730" s="30"/>
      <c r="G730" s="27"/>
      <c r="H730" s="27"/>
      <c r="I730" s="27"/>
      <c r="J730" s="27"/>
    </row>
    <row r="731">
      <c r="A731" s="3"/>
      <c r="B731" s="27"/>
      <c r="C731" s="27"/>
      <c r="D731" s="27"/>
      <c r="E731" s="27"/>
      <c r="F731" s="30"/>
      <c r="G731" s="27"/>
      <c r="H731" s="27"/>
      <c r="I731" s="27"/>
      <c r="J731" s="27"/>
    </row>
    <row r="732">
      <c r="A732" s="3"/>
      <c r="B732" s="27"/>
      <c r="C732" s="27"/>
      <c r="D732" s="27"/>
      <c r="E732" s="27"/>
      <c r="F732" s="30"/>
      <c r="G732" s="27"/>
      <c r="H732" s="27"/>
      <c r="I732" s="27"/>
      <c r="J732" s="27"/>
    </row>
    <row r="733">
      <c r="A733" s="3"/>
      <c r="B733" s="27"/>
      <c r="C733" s="27"/>
      <c r="D733" s="27"/>
      <c r="E733" s="27"/>
      <c r="F733" s="30"/>
      <c r="G733" s="27"/>
      <c r="H733" s="27"/>
      <c r="I733" s="27"/>
      <c r="J733" s="27"/>
    </row>
    <row r="734">
      <c r="A734" s="3"/>
      <c r="B734" s="27"/>
      <c r="C734" s="27"/>
      <c r="D734" s="27"/>
      <c r="E734" s="27"/>
      <c r="F734" s="30"/>
      <c r="G734" s="27"/>
      <c r="H734" s="27"/>
      <c r="I734" s="27"/>
      <c r="J734" s="27"/>
    </row>
    <row r="735">
      <c r="A735" s="3"/>
      <c r="B735" s="27"/>
      <c r="C735" s="27"/>
      <c r="D735" s="27"/>
      <c r="E735" s="27"/>
      <c r="F735" s="30"/>
      <c r="G735" s="27"/>
      <c r="H735" s="27"/>
      <c r="I735" s="27"/>
      <c r="J735" s="27"/>
    </row>
    <row r="736">
      <c r="A736" s="3"/>
      <c r="B736" s="27"/>
      <c r="C736" s="27"/>
      <c r="D736" s="27"/>
      <c r="E736" s="27"/>
      <c r="F736" s="30"/>
      <c r="G736" s="27"/>
      <c r="H736" s="27"/>
      <c r="I736" s="27"/>
      <c r="J736" s="27"/>
    </row>
    <row r="737">
      <c r="A737" s="3"/>
      <c r="B737" s="27"/>
      <c r="C737" s="27"/>
      <c r="D737" s="27"/>
      <c r="E737" s="27"/>
      <c r="F737" s="30"/>
      <c r="G737" s="27"/>
      <c r="H737" s="27"/>
      <c r="I737" s="27"/>
      <c r="J737" s="27"/>
    </row>
    <row r="738">
      <c r="A738" s="3"/>
      <c r="B738" s="27"/>
      <c r="C738" s="27"/>
      <c r="D738" s="27"/>
      <c r="E738" s="27"/>
      <c r="F738" s="30"/>
      <c r="G738" s="27"/>
      <c r="H738" s="27"/>
      <c r="I738" s="27"/>
      <c r="J738" s="27"/>
    </row>
    <row r="739">
      <c r="A739" s="3"/>
      <c r="B739" s="27"/>
      <c r="C739" s="27"/>
      <c r="D739" s="27"/>
      <c r="E739" s="27"/>
      <c r="F739" s="30"/>
      <c r="G739" s="27"/>
      <c r="H739" s="27"/>
      <c r="I739" s="27"/>
      <c r="J739" s="27"/>
    </row>
    <row r="740">
      <c r="A740" s="3"/>
      <c r="B740" s="27"/>
      <c r="C740" s="27"/>
      <c r="D740" s="27"/>
      <c r="E740" s="27"/>
      <c r="F740" s="30"/>
      <c r="G740" s="27"/>
      <c r="H740" s="27"/>
      <c r="I740" s="27"/>
      <c r="J740" s="27"/>
    </row>
    <row r="741">
      <c r="A741" s="3"/>
      <c r="B741" s="27"/>
      <c r="C741" s="27"/>
      <c r="D741" s="27"/>
      <c r="E741" s="27"/>
      <c r="F741" s="30"/>
      <c r="G741" s="27"/>
      <c r="H741" s="27"/>
      <c r="I741" s="27"/>
      <c r="J741" s="27"/>
    </row>
    <row r="742">
      <c r="A742" s="3"/>
      <c r="B742" s="27"/>
      <c r="C742" s="27"/>
      <c r="D742" s="27"/>
      <c r="E742" s="27"/>
      <c r="F742" s="30"/>
      <c r="G742" s="27"/>
      <c r="H742" s="27"/>
      <c r="I742" s="27"/>
      <c r="J742" s="27"/>
    </row>
    <row r="743">
      <c r="A743" s="3"/>
      <c r="B743" s="27"/>
      <c r="C743" s="27"/>
      <c r="D743" s="27"/>
      <c r="E743" s="27"/>
      <c r="F743" s="30"/>
      <c r="G743" s="27"/>
      <c r="H743" s="27"/>
      <c r="I743" s="27"/>
      <c r="J743" s="27"/>
    </row>
    <row r="744">
      <c r="A744" s="3"/>
      <c r="B744" s="27"/>
      <c r="C744" s="27"/>
      <c r="D744" s="27"/>
      <c r="E744" s="27"/>
      <c r="F744" s="30"/>
      <c r="G744" s="27"/>
      <c r="H744" s="27"/>
      <c r="I744" s="27"/>
      <c r="J744" s="27"/>
    </row>
    <row r="745">
      <c r="A745" s="3"/>
      <c r="B745" s="27"/>
      <c r="C745" s="27"/>
      <c r="D745" s="27"/>
      <c r="E745" s="27"/>
      <c r="F745" s="30"/>
      <c r="G745" s="27"/>
      <c r="H745" s="27"/>
      <c r="I745" s="27"/>
      <c r="J745" s="27"/>
    </row>
    <row r="746">
      <c r="A746" s="3"/>
      <c r="B746" s="27"/>
      <c r="C746" s="27"/>
      <c r="D746" s="27"/>
      <c r="E746" s="27"/>
      <c r="F746" s="30"/>
      <c r="G746" s="27"/>
      <c r="H746" s="27"/>
      <c r="I746" s="27"/>
      <c r="J746" s="27"/>
    </row>
    <row r="747">
      <c r="A747" s="3"/>
      <c r="B747" s="27"/>
      <c r="C747" s="27"/>
      <c r="D747" s="27"/>
      <c r="E747" s="27"/>
      <c r="F747" s="30"/>
      <c r="G747" s="27"/>
      <c r="H747" s="27"/>
      <c r="I747" s="27"/>
      <c r="J747" s="27"/>
    </row>
    <row r="748">
      <c r="A748" s="3"/>
      <c r="B748" s="27"/>
      <c r="C748" s="27"/>
      <c r="D748" s="27"/>
      <c r="E748" s="27"/>
      <c r="F748" s="30"/>
      <c r="G748" s="27"/>
      <c r="H748" s="27"/>
      <c r="I748" s="27"/>
      <c r="J748" s="27"/>
    </row>
    <row r="749">
      <c r="A749" s="3"/>
      <c r="B749" s="27"/>
      <c r="C749" s="27"/>
      <c r="D749" s="27"/>
      <c r="E749" s="27"/>
      <c r="F749" s="30"/>
      <c r="G749" s="27"/>
      <c r="H749" s="27"/>
      <c r="I749" s="27"/>
      <c r="J749" s="27"/>
    </row>
    <row r="750">
      <c r="A750" s="3"/>
      <c r="B750" s="27"/>
      <c r="C750" s="27"/>
      <c r="D750" s="27"/>
      <c r="E750" s="27"/>
      <c r="F750" s="30"/>
      <c r="G750" s="27"/>
      <c r="H750" s="27"/>
      <c r="I750" s="27"/>
      <c r="J750" s="27"/>
    </row>
    <row r="751">
      <c r="A751" s="3"/>
      <c r="B751" s="27"/>
      <c r="C751" s="27"/>
      <c r="D751" s="27"/>
      <c r="E751" s="27"/>
      <c r="F751" s="30"/>
      <c r="G751" s="27"/>
      <c r="H751" s="27"/>
      <c r="I751" s="27"/>
      <c r="J751" s="27"/>
    </row>
    <row r="752">
      <c r="A752" s="3"/>
      <c r="B752" s="27"/>
      <c r="C752" s="27"/>
      <c r="D752" s="27"/>
      <c r="E752" s="27"/>
      <c r="F752" s="30"/>
      <c r="G752" s="27"/>
      <c r="H752" s="27"/>
      <c r="I752" s="27"/>
      <c r="J752" s="27"/>
    </row>
    <row r="753">
      <c r="A753" s="3"/>
      <c r="B753" s="27"/>
      <c r="C753" s="27"/>
      <c r="D753" s="27"/>
      <c r="E753" s="27"/>
      <c r="F753" s="30"/>
      <c r="G753" s="27"/>
      <c r="H753" s="27"/>
      <c r="I753" s="27"/>
      <c r="J753" s="27"/>
    </row>
    <row r="754">
      <c r="A754" s="3"/>
      <c r="B754" s="27"/>
      <c r="C754" s="27"/>
      <c r="D754" s="27"/>
      <c r="E754" s="27"/>
      <c r="F754" s="30"/>
      <c r="G754" s="27"/>
      <c r="H754" s="27"/>
      <c r="I754" s="27"/>
      <c r="J754" s="27"/>
    </row>
    <row r="755">
      <c r="A755" s="3"/>
      <c r="B755" s="27"/>
      <c r="C755" s="27"/>
      <c r="D755" s="27"/>
      <c r="E755" s="27"/>
      <c r="F755" s="30"/>
      <c r="G755" s="27"/>
      <c r="H755" s="27"/>
      <c r="I755" s="27"/>
      <c r="J755" s="27"/>
    </row>
    <row r="756">
      <c r="A756" s="3"/>
      <c r="B756" s="27"/>
      <c r="C756" s="27"/>
      <c r="D756" s="27"/>
      <c r="E756" s="27"/>
      <c r="F756" s="30"/>
      <c r="G756" s="27"/>
      <c r="H756" s="27"/>
      <c r="I756" s="27"/>
      <c r="J756" s="27"/>
    </row>
    <row r="757">
      <c r="A757" s="3"/>
      <c r="B757" s="27"/>
      <c r="C757" s="27"/>
      <c r="D757" s="27"/>
      <c r="E757" s="27"/>
      <c r="F757" s="30"/>
      <c r="G757" s="27"/>
      <c r="H757" s="27"/>
      <c r="I757" s="27"/>
      <c r="J757" s="27"/>
    </row>
    <row r="758">
      <c r="A758" s="3"/>
      <c r="B758" s="27"/>
      <c r="C758" s="27"/>
      <c r="D758" s="27"/>
      <c r="E758" s="27"/>
      <c r="F758" s="30"/>
      <c r="G758" s="27"/>
      <c r="H758" s="27"/>
      <c r="I758" s="27"/>
      <c r="J758" s="27"/>
    </row>
    <row r="759">
      <c r="A759" s="3"/>
      <c r="B759" s="27"/>
      <c r="C759" s="27"/>
      <c r="D759" s="27"/>
      <c r="E759" s="27"/>
      <c r="F759" s="30"/>
      <c r="G759" s="27"/>
      <c r="H759" s="27"/>
      <c r="I759" s="27"/>
      <c r="J759" s="27"/>
    </row>
    <row r="760">
      <c r="A760" s="3"/>
      <c r="B760" s="27"/>
      <c r="C760" s="27"/>
      <c r="D760" s="27"/>
      <c r="E760" s="27"/>
      <c r="F760" s="30"/>
      <c r="G760" s="27"/>
      <c r="H760" s="27"/>
      <c r="I760" s="27"/>
      <c r="J760" s="27"/>
    </row>
    <row r="761">
      <c r="A761" s="3"/>
      <c r="B761" s="27"/>
      <c r="C761" s="27"/>
      <c r="D761" s="27"/>
      <c r="E761" s="27"/>
      <c r="F761" s="30"/>
      <c r="G761" s="27"/>
      <c r="H761" s="27"/>
      <c r="I761" s="27"/>
      <c r="J761" s="27"/>
    </row>
    <row r="762">
      <c r="A762" s="3"/>
      <c r="B762" s="27"/>
      <c r="C762" s="27"/>
      <c r="D762" s="27"/>
      <c r="E762" s="27"/>
      <c r="F762" s="30"/>
      <c r="G762" s="27"/>
      <c r="H762" s="27"/>
      <c r="I762" s="27"/>
      <c r="J762" s="27"/>
    </row>
    <row r="763">
      <c r="A763" s="3"/>
      <c r="B763" s="27"/>
      <c r="C763" s="27"/>
      <c r="D763" s="27"/>
      <c r="E763" s="27"/>
      <c r="F763" s="30"/>
      <c r="G763" s="27"/>
      <c r="H763" s="27"/>
      <c r="I763" s="27"/>
      <c r="J763" s="27"/>
    </row>
    <row r="764">
      <c r="A764" s="3"/>
      <c r="B764" s="27"/>
      <c r="C764" s="27"/>
      <c r="D764" s="27"/>
      <c r="E764" s="27"/>
      <c r="F764" s="30"/>
      <c r="G764" s="27"/>
      <c r="H764" s="27"/>
      <c r="I764" s="27"/>
      <c r="J764" s="27"/>
    </row>
    <row r="765">
      <c r="A765" s="3"/>
      <c r="B765" s="27"/>
      <c r="C765" s="27"/>
      <c r="D765" s="27"/>
      <c r="E765" s="27"/>
      <c r="F765" s="30"/>
      <c r="G765" s="27"/>
      <c r="H765" s="27"/>
      <c r="I765" s="27"/>
      <c r="J765" s="27"/>
    </row>
    <row r="766">
      <c r="A766" s="3"/>
      <c r="B766" s="27"/>
      <c r="C766" s="27"/>
      <c r="D766" s="27"/>
      <c r="E766" s="27"/>
      <c r="F766" s="30"/>
      <c r="G766" s="27"/>
      <c r="H766" s="27"/>
      <c r="I766" s="27"/>
      <c r="J766" s="27"/>
    </row>
    <row r="767">
      <c r="A767" s="3"/>
      <c r="B767" s="27"/>
      <c r="C767" s="27"/>
      <c r="D767" s="27"/>
      <c r="E767" s="27"/>
      <c r="F767" s="30"/>
      <c r="G767" s="27"/>
      <c r="H767" s="27"/>
      <c r="I767" s="27"/>
      <c r="J767" s="27"/>
    </row>
    <row r="768">
      <c r="A768" s="3"/>
      <c r="B768" s="27"/>
      <c r="C768" s="27"/>
      <c r="D768" s="27"/>
      <c r="E768" s="27"/>
      <c r="F768" s="30"/>
      <c r="G768" s="27"/>
      <c r="H768" s="27"/>
      <c r="I768" s="27"/>
      <c r="J768" s="27"/>
    </row>
    <row r="769">
      <c r="A769" s="3"/>
      <c r="B769" s="27"/>
      <c r="C769" s="27"/>
      <c r="D769" s="27"/>
      <c r="E769" s="27"/>
      <c r="F769" s="30"/>
      <c r="G769" s="27"/>
      <c r="H769" s="27"/>
      <c r="I769" s="27"/>
      <c r="J769" s="27"/>
    </row>
    <row r="770">
      <c r="A770" s="3"/>
      <c r="B770" s="27"/>
      <c r="C770" s="27"/>
      <c r="D770" s="27"/>
      <c r="E770" s="27"/>
      <c r="F770" s="30"/>
      <c r="G770" s="27"/>
      <c r="H770" s="27"/>
      <c r="I770" s="27"/>
      <c r="J770" s="27"/>
    </row>
    <row r="771">
      <c r="A771" s="3"/>
      <c r="B771" s="27"/>
      <c r="C771" s="27"/>
      <c r="D771" s="27"/>
      <c r="E771" s="27"/>
      <c r="F771" s="30"/>
      <c r="G771" s="27"/>
      <c r="H771" s="27"/>
      <c r="I771" s="27"/>
      <c r="J771" s="27"/>
    </row>
    <row r="772">
      <c r="A772" s="3"/>
      <c r="B772" s="27"/>
      <c r="C772" s="27"/>
      <c r="D772" s="27"/>
      <c r="E772" s="27"/>
      <c r="F772" s="30"/>
      <c r="G772" s="27"/>
      <c r="H772" s="27"/>
      <c r="I772" s="27"/>
      <c r="J772" s="27"/>
    </row>
    <row r="773">
      <c r="A773" s="3"/>
      <c r="B773" s="27"/>
      <c r="C773" s="27"/>
      <c r="D773" s="27"/>
      <c r="E773" s="27"/>
      <c r="F773" s="30"/>
      <c r="G773" s="27"/>
      <c r="H773" s="27"/>
      <c r="I773" s="27"/>
      <c r="J773" s="27"/>
    </row>
    <row r="774">
      <c r="A774" s="3"/>
      <c r="B774" s="27"/>
      <c r="C774" s="27"/>
      <c r="D774" s="27"/>
      <c r="E774" s="27"/>
      <c r="F774" s="30"/>
      <c r="G774" s="27"/>
      <c r="H774" s="27"/>
      <c r="I774" s="27"/>
      <c r="J774" s="27"/>
    </row>
    <row r="775">
      <c r="A775" s="3"/>
      <c r="B775" s="27"/>
      <c r="C775" s="27"/>
      <c r="D775" s="27"/>
      <c r="E775" s="27"/>
      <c r="F775" s="30"/>
      <c r="G775" s="27"/>
      <c r="H775" s="27"/>
      <c r="I775" s="27"/>
      <c r="J775" s="27"/>
    </row>
    <row r="776">
      <c r="A776" s="3"/>
      <c r="B776" s="27"/>
      <c r="C776" s="27"/>
      <c r="D776" s="27"/>
      <c r="E776" s="27"/>
      <c r="F776" s="30"/>
      <c r="G776" s="27"/>
      <c r="H776" s="27"/>
      <c r="I776" s="27"/>
      <c r="J776" s="27"/>
    </row>
    <row r="777">
      <c r="A777" s="3"/>
      <c r="B777" s="27"/>
      <c r="C777" s="27"/>
      <c r="D777" s="27"/>
      <c r="E777" s="27"/>
      <c r="F777" s="30"/>
      <c r="G777" s="27"/>
      <c r="H777" s="27"/>
      <c r="I777" s="27"/>
      <c r="J777" s="27"/>
    </row>
    <row r="778">
      <c r="A778" s="3"/>
      <c r="B778" s="27"/>
      <c r="C778" s="27"/>
      <c r="D778" s="27"/>
      <c r="E778" s="27"/>
      <c r="F778" s="30"/>
      <c r="G778" s="27"/>
      <c r="H778" s="27"/>
      <c r="I778" s="27"/>
      <c r="J778" s="27"/>
    </row>
    <row r="779">
      <c r="A779" s="3"/>
      <c r="B779" s="27"/>
      <c r="C779" s="27"/>
      <c r="D779" s="27"/>
      <c r="E779" s="27"/>
      <c r="F779" s="30"/>
      <c r="G779" s="27"/>
      <c r="H779" s="27"/>
      <c r="I779" s="27"/>
      <c r="J779" s="27"/>
    </row>
    <row r="780">
      <c r="A780" s="3"/>
      <c r="B780" s="27"/>
      <c r="C780" s="27"/>
      <c r="D780" s="27"/>
      <c r="E780" s="27"/>
      <c r="F780" s="30"/>
      <c r="G780" s="27"/>
      <c r="H780" s="27"/>
      <c r="I780" s="27"/>
      <c r="J780" s="27"/>
    </row>
    <row r="781">
      <c r="A781" s="3"/>
      <c r="B781" s="27"/>
      <c r="C781" s="27"/>
      <c r="D781" s="27"/>
      <c r="E781" s="27"/>
      <c r="F781" s="30"/>
      <c r="G781" s="27"/>
      <c r="H781" s="27"/>
      <c r="I781" s="27"/>
      <c r="J781" s="27"/>
    </row>
    <row r="782">
      <c r="A782" s="3"/>
      <c r="B782" s="27"/>
      <c r="C782" s="27"/>
      <c r="D782" s="27"/>
      <c r="E782" s="27"/>
      <c r="F782" s="30"/>
      <c r="G782" s="27"/>
      <c r="H782" s="27"/>
      <c r="I782" s="27"/>
      <c r="J782" s="27"/>
    </row>
    <row r="783">
      <c r="A783" s="3"/>
      <c r="B783" s="27"/>
      <c r="C783" s="27"/>
      <c r="D783" s="27"/>
      <c r="E783" s="27"/>
      <c r="F783" s="30"/>
      <c r="G783" s="27"/>
      <c r="H783" s="27"/>
      <c r="I783" s="27"/>
      <c r="J783" s="27"/>
    </row>
    <row r="784">
      <c r="A784" s="3"/>
      <c r="B784" s="27"/>
      <c r="C784" s="27"/>
      <c r="D784" s="27"/>
      <c r="E784" s="27"/>
      <c r="F784" s="30"/>
      <c r="G784" s="27"/>
      <c r="H784" s="27"/>
      <c r="I784" s="27"/>
      <c r="J784" s="27"/>
    </row>
    <row r="785">
      <c r="A785" s="3"/>
      <c r="B785" s="27"/>
      <c r="C785" s="27"/>
      <c r="D785" s="27"/>
      <c r="E785" s="27"/>
      <c r="F785" s="30"/>
      <c r="G785" s="27"/>
      <c r="H785" s="27"/>
      <c r="I785" s="27"/>
      <c r="J785" s="27"/>
    </row>
    <row r="786">
      <c r="A786" s="3"/>
      <c r="B786" s="27"/>
      <c r="C786" s="27"/>
      <c r="D786" s="27"/>
      <c r="E786" s="27"/>
      <c r="F786" s="30"/>
      <c r="G786" s="27"/>
      <c r="H786" s="27"/>
      <c r="I786" s="27"/>
      <c r="J786" s="27"/>
    </row>
    <row r="787">
      <c r="A787" s="3"/>
      <c r="B787" s="27"/>
      <c r="C787" s="27"/>
      <c r="D787" s="27"/>
      <c r="E787" s="27"/>
      <c r="F787" s="30"/>
      <c r="G787" s="27"/>
      <c r="H787" s="27"/>
      <c r="I787" s="27"/>
      <c r="J787" s="27"/>
    </row>
    <row r="788">
      <c r="A788" s="3"/>
      <c r="B788" s="27"/>
      <c r="C788" s="27"/>
      <c r="D788" s="27"/>
      <c r="E788" s="27"/>
      <c r="F788" s="30"/>
      <c r="G788" s="27"/>
      <c r="H788" s="27"/>
      <c r="I788" s="27"/>
      <c r="J788" s="27"/>
    </row>
    <row r="789">
      <c r="A789" s="3"/>
      <c r="B789" s="27"/>
      <c r="C789" s="27"/>
      <c r="D789" s="27"/>
      <c r="E789" s="27"/>
      <c r="F789" s="30"/>
      <c r="G789" s="27"/>
      <c r="H789" s="27"/>
      <c r="I789" s="27"/>
      <c r="J789" s="27"/>
    </row>
    <row r="790">
      <c r="A790" s="3"/>
      <c r="B790" s="27"/>
      <c r="C790" s="27"/>
      <c r="D790" s="27"/>
      <c r="E790" s="27"/>
      <c r="F790" s="30"/>
      <c r="G790" s="27"/>
      <c r="H790" s="27"/>
      <c r="I790" s="27"/>
      <c r="J790" s="27"/>
    </row>
    <row r="791">
      <c r="A791" s="3"/>
      <c r="B791" s="27"/>
      <c r="C791" s="27"/>
      <c r="D791" s="27"/>
      <c r="E791" s="27"/>
      <c r="F791" s="30"/>
      <c r="G791" s="27"/>
      <c r="H791" s="27"/>
      <c r="I791" s="27"/>
      <c r="J791" s="27"/>
    </row>
    <row r="792">
      <c r="A792" s="3"/>
      <c r="B792" s="27"/>
      <c r="C792" s="27"/>
      <c r="D792" s="27"/>
      <c r="E792" s="27"/>
      <c r="F792" s="30"/>
      <c r="G792" s="27"/>
      <c r="H792" s="27"/>
      <c r="I792" s="27"/>
      <c r="J792" s="27"/>
    </row>
    <row r="793">
      <c r="A793" s="3"/>
      <c r="B793" s="27"/>
      <c r="C793" s="27"/>
      <c r="D793" s="27"/>
      <c r="E793" s="27"/>
      <c r="F793" s="30"/>
      <c r="G793" s="27"/>
      <c r="H793" s="27"/>
      <c r="I793" s="27"/>
      <c r="J793" s="27"/>
    </row>
    <row r="794">
      <c r="A794" s="3"/>
      <c r="B794" s="27"/>
      <c r="C794" s="27"/>
      <c r="D794" s="27"/>
      <c r="E794" s="27"/>
      <c r="F794" s="30"/>
      <c r="G794" s="27"/>
      <c r="H794" s="27"/>
      <c r="I794" s="27"/>
      <c r="J794" s="27"/>
    </row>
    <row r="795">
      <c r="A795" s="3"/>
      <c r="B795" s="27"/>
      <c r="C795" s="27"/>
      <c r="D795" s="27"/>
      <c r="E795" s="27"/>
      <c r="F795" s="30"/>
      <c r="G795" s="27"/>
      <c r="H795" s="27"/>
      <c r="I795" s="27"/>
      <c r="J795" s="27"/>
    </row>
    <row r="796">
      <c r="A796" s="3"/>
      <c r="B796" s="27"/>
      <c r="C796" s="27"/>
      <c r="D796" s="27"/>
      <c r="E796" s="27"/>
      <c r="F796" s="30"/>
      <c r="G796" s="27"/>
      <c r="H796" s="27"/>
      <c r="I796" s="27"/>
      <c r="J796" s="27"/>
    </row>
    <row r="797">
      <c r="A797" s="3"/>
      <c r="B797" s="27"/>
      <c r="C797" s="27"/>
      <c r="D797" s="27"/>
      <c r="E797" s="27"/>
      <c r="F797" s="30"/>
      <c r="G797" s="27"/>
      <c r="H797" s="27"/>
      <c r="I797" s="27"/>
      <c r="J797" s="27"/>
    </row>
    <row r="798">
      <c r="A798" s="3"/>
      <c r="B798" s="27"/>
      <c r="C798" s="27"/>
      <c r="D798" s="27"/>
      <c r="E798" s="27"/>
      <c r="F798" s="30"/>
      <c r="G798" s="27"/>
      <c r="H798" s="27"/>
      <c r="I798" s="27"/>
      <c r="J798" s="27"/>
    </row>
    <row r="799">
      <c r="A799" s="3"/>
      <c r="B799" s="27"/>
      <c r="C799" s="27"/>
      <c r="D799" s="27"/>
      <c r="E799" s="27"/>
      <c r="F799" s="30"/>
      <c r="G799" s="27"/>
      <c r="H799" s="27"/>
      <c r="I799" s="27"/>
      <c r="J799" s="27"/>
    </row>
    <row r="800">
      <c r="A800" s="3"/>
      <c r="B800" s="27"/>
      <c r="C800" s="27"/>
      <c r="D800" s="27"/>
      <c r="E800" s="27"/>
      <c r="F800" s="30"/>
      <c r="G800" s="27"/>
      <c r="H800" s="27"/>
      <c r="I800" s="27"/>
      <c r="J800" s="27"/>
    </row>
    <row r="801">
      <c r="A801" s="3"/>
      <c r="B801" s="27"/>
      <c r="C801" s="27"/>
      <c r="D801" s="27"/>
      <c r="E801" s="27"/>
      <c r="F801" s="30"/>
      <c r="G801" s="27"/>
      <c r="H801" s="27"/>
      <c r="I801" s="27"/>
      <c r="J801" s="27"/>
    </row>
    <row r="802">
      <c r="A802" s="3"/>
      <c r="B802" s="27"/>
      <c r="C802" s="27"/>
      <c r="D802" s="27"/>
      <c r="E802" s="27"/>
      <c r="F802" s="30"/>
      <c r="G802" s="27"/>
      <c r="H802" s="27"/>
      <c r="I802" s="27"/>
      <c r="J802" s="27"/>
    </row>
    <row r="803">
      <c r="A803" s="3"/>
      <c r="B803" s="27"/>
      <c r="C803" s="27"/>
      <c r="D803" s="27"/>
      <c r="E803" s="27"/>
      <c r="F803" s="30"/>
      <c r="G803" s="27"/>
      <c r="H803" s="27"/>
      <c r="I803" s="27"/>
      <c r="J803" s="27"/>
    </row>
    <row r="804">
      <c r="A804" s="3"/>
      <c r="B804" s="27"/>
      <c r="C804" s="27"/>
      <c r="D804" s="27"/>
      <c r="E804" s="27"/>
      <c r="F804" s="30"/>
      <c r="G804" s="27"/>
      <c r="H804" s="27"/>
      <c r="I804" s="27"/>
      <c r="J804" s="27"/>
    </row>
    <row r="805">
      <c r="A805" s="3"/>
      <c r="B805" s="27"/>
      <c r="C805" s="27"/>
      <c r="D805" s="27"/>
      <c r="E805" s="27"/>
      <c r="F805" s="30"/>
      <c r="G805" s="27"/>
      <c r="H805" s="27"/>
      <c r="I805" s="27"/>
      <c r="J805" s="27"/>
    </row>
    <row r="806">
      <c r="A806" s="3"/>
      <c r="B806" s="27"/>
      <c r="C806" s="27"/>
      <c r="D806" s="27"/>
      <c r="E806" s="27"/>
      <c r="F806" s="30"/>
      <c r="G806" s="27"/>
      <c r="H806" s="27"/>
      <c r="I806" s="27"/>
      <c r="J806" s="27"/>
    </row>
    <row r="807">
      <c r="A807" s="3"/>
      <c r="B807" s="27"/>
      <c r="C807" s="27"/>
      <c r="D807" s="27"/>
      <c r="E807" s="27"/>
      <c r="F807" s="30"/>
      <c r="G807" s="27"/>
      <c r="H807" s="27"/>
      <c r="I807" s="27"/>
      <c r="J807" s="27"/>
    </row>
    <row r="808">
      <c r="A808" s="3"/>
      <c r="B808" s="27"/>
      <c r="C808" s="27"/>
      <c r="D808" s="27"/>
      <c r="E808" s="27"/>
      <c r="F808" s="30"/>
      <c r="G808" s="27"/>
      <c r="H808" s="27"/>
      <c r="I808" s="27"/>
      <c r="J808" s="27"/>
    </row>
    <row r="809">
      <c r="A809" s="3"/>
      <c r="B809" s="27"/>
      <c r="C809" s="27"/>
      <c r="D809" s="27"/>
      <c r="E809" s="27"/>
      <c r="F809" s="30"/>
      <c r="G809" s="27"/>
      <c r="H809" s="27"/>
      <c r="I809" s="27"/>
      <c r="J809" s="27"/>
    </row>
    <row r="810">
      <c r="A810" s="3"/>
      <c r="B810" s="27"/>
      <c r="C810" s="27"/>
      <c r="D810" s="27"/>
      <c r="E810" s="27"/>
      <c r="F810" s="30"/>
      <c r="G810" s="27"/>
      <c r="H810" s="27"/>
      <c r="I810" s="27"/>
      <c r="J810" s="27"/>
    </row>
    <row r="811">
      <c r="A811" s="3"/>
      <c r="B811" s="27"/>
      <c r="C811" s="27"/>
      <c r="D811" s="27"/>
      <c r="E811" s="27"/>
      <c r="F811" s="30"/>
      <c r="G811" s="27"/>
      <c r="H811" s="27"/>
      <c r="I811" s="27"/>
      <c r="J811" s="27"/>
    </row>
    <row r="812">
      <c r="A812" s="3"/>
      <c r="B812" s="27"/>
      <c r="C812" s="27"/>
      <c r="D812" s="27"/>
      <c r="E812" s="27"/>
      <c r="F812" s="30"/>
      <c r="G812" s="27"/>
      <c r="H812" s="27"/>
      <c r="I812" s="27"/>
      <c r="J812" s="27"/>
    </row>
    <row r="813">
      <c r="A813" s="3"/>
      <c r="B813" s="27"/>
      <c r="C813" s="27"/>
      <c r="D813" s="27"/>
      <c r="E813" s="27"/>
      <c r="F813" s="30"/>
      <c r="G813" s="27"/>
      <c r="H813" s="27"/>
      <c r="I813" s="27"/>
      <c r="J813" s="27"/>
    </row>
    <row r="814">
      <c r="A814" s="3"/>
      <c r="B814" s="27"/>
      <c r="C814" s="27"/>
      <c r="D814" s="27"/>
      <c r="E814" s="27"/>
      <c r="F814" s="30"/>
      <c r="G814" s="27"/>
      <c r="H814" s="27"/>
      <c r="I814" s="27"/>
      <c r="J814" s="27"/>
    </row>
    <row r="815">
      <c r="A815" s="3"/>
      <c r="B815" s="27"/>
      <c r="C815" s="27"/>
      <c r="D815" s="27"/>
      <c r="E815" s="27"/>
      <c r="F815" s="30"/>
      <c r="G815" s="27"/>
      <c r="H815" s="27"/>
      <c r="I815" s="27"/>
      <c r="J815" s="27"/>
    </row>
    <row r="816">
      <c r="A816" s="3"/>
      <c r="B816" s="27"/>
      <c r="C816" s="27"/>
      <c r="D816" s="27"/>
      <c r="E816" s="27"/>
      <c r="F816" s="30"/>
      <c r="G816" s="27"/>
      <c r="H816" s="27"/>
      <c r="I816" s="27"/>
      <c r="J816" s="27"/>
    </row>
    <row r="817">
      <c r="A817" s="3"/>
      <c r="B817" s="27"/>
      <c r="C817" s="27"/>
      <c r="D817" s="27"/>
      <c r="E817" s="27"/>
      <c r="F817" s="30"/>
      <c r="G817" s="27"/>
      <c r="H817" s="27"/>
      <c r="I817" s="27"/>
      <c r="J817" s="27"/>
    </row>
    <row r="818">
      <c r="A818" s="3"/>
      <c r="B818" s="27"/>
      <c r="C818" s="27"/>
      <c r="D818" s="27"/>
      <c r="E818" s="27"/>
      <c r="F818" s="30"/>
      <c r="G818" s="27"/>
      <c r="H818" s="27"/>
      <c r="I818" s="27"/>
      <c r="J818" s="27"/>
    </row>
    <row r="819">
      <c r="A819" s="3"/>
      <c r="B819" s="27"/>
      <c r="C819" s="27"/>
      <c r="D819" s="27"/>
      <c r="E819" s="27"/>
      <c r="F819" s="30"/>
      <c r="G819" s="27"/>
      <c r="H819" s="27"/>
      <c r="I819" s="27"/>
      <c r="J819" s="27"/>
    </row>
    <row r="820">
      <c r="A820" s="3"/>
      <c r="B820" s="27"/>
      <c r="C820" s="27"/>
      <c r="D820" s="27"/>
      <c r="E820" s="27"/>
      <c r="F820" s="30"/>
      <c r="G820" s="27"/>
      <c r="H820" s="27"/>
      <c r="I820" s="27"/>
      <c r="J820" s="27"/>
    </row>
    <row r="821">
      <c r="A821" s="3"/>
      <c r="B821" s="27"/>
      <c r="C821" s="27"/>
      <c r="D821" s="27"/>
      <c r="E821" s="27"/>
      <c r="F821" s="30"/>
      <c r="G821" s="27"/>
      <c r="H821" s="27"/>
      <c r="I821" s="27"/>
      <c r="J821" s="27"/>
    </row>
    <row r="822">
      <c r="A822" s="3"/>
      <c r="B822" s="27"/>
      <c r="C822" s="27"/>
      <c r="D822" s="27"/>
      <c r="E822" s="27"/>
      <c r="F822" s="30"/>
      <c r="G822" s="27"/>
      <c r="H822" s="27"/>
      <c r="I822" s="27"/>
      <c r="J822" s="27"/>
    </row>
    <row r="823">
      <c r="A823" s="3"/>
      <c r="B823" s="27"/>
      <c r="C823" s="27"/>
      <c r="D823" s="27"/>
      <c r="E823" s="27"/>
      <c r="F823" s="30"/>
      <c r="G823" s="27"/>
      <c r="H823" s="27"/>
      <c r="I823" s="27"/>
      <c r="J823" s="27"/>
    </row>
    <row r="824">
      <c r="A824" s="3"/>
      <c r="B824" s="27"/>
      <c r="C824" s="27"/>
      <c r="D824" s="27"/>
      <c r="E824" s="27"/>
      <c r="F824" s="30"/>
      <c r="G824" s="27"/>
      <c r="H824" s="27"/>
      <c r="I824" s="27"/>
      <c r="J824" s="27"/>
    </row>
    <row r="825">
      <c r="A825" s="3"/>
      <c r="B825" s="27"/>
      <c r="C825" s="27"/>
      <c r="D825" s="27"/>
      <c r="E825" s="27"/>
      <c r="F825" s="30"/>
      <c r="G825" s="27"/>
      <c r="H825" s="27"/>
      <c r="I825" s="27"/>
      <c r="J825" s="27"/>
    </row>
    <row r="826">
      <c r="A826" s="3"/>
      <c r="B826" s="27"/>
      <c r="C826" s="27"/>
      <c r="D826" s="27"/>
      <c r="E826" s="27"/>
      <c r="F826" s="30"/>
      <c r="G826" s="27"/>
      <c r="H826" s="27"/>
      <c r="I826" s="27"/>
      <c r="J826" s="27"/>
    </row>
    <row r="827">
      <c r="A827" s="3"/>
      <c r="B827" s="27"/>
      <c r="C827" s="27"/>
      <c r="D827" s="27"/>
      <c r="E827" s="27"/>
      <c r="F827" s="30"/>
      <c r="G827" s="27"/>
      <c r="H827" s="27"/>
      <c r="I827" s="27"/>
      <c r="J827" s="27"/>
    </row>
    <row r="828">
      <c r="A828" s="3"/>
      <c r="B828" s="27"/>
      <c r="C828" s="27"/>
      <c r="D828" s="27"/>
      <c r="E828" s="27"/>
      <c r="F828" s="30"/>
      <c r="G828" s="27"/>
      <c r="H828" s="27"/>
      <c r="I828" s="27"/>
      <c r="J828" s="27"/>
    </row>
    <row r="829">
      <c r="A829" s="3"/>
      <c r="B829" s="27"/>
      <c r="C829" s="27"/>
      <c r="D829" s="27"/>
      <c r="E829" s="27"/>
      <c r="F829" s="30"/>
      <c r="G829" s="27"/>
      <c r="H829" s="27"/>
      <c r="I829" s="27"/>
      <c r="J829" s="27"/>
    </row>
    <row r="830">
      <c r="A830" s="3"/>
      <c r="B830" s="27"/>
      <c r="C830" s="27"/>
      <c r="D830" s="27"/>
      <c r="E830" s="27"/>
      <c r="F830" s="30"/>
      <c r="G830" s="27"/>
      <c r="H830" s="27"/>
      <c r="I830" s="27"/>
      <c r="J830" s="27"/>
    </row>
    <row r="831">
      <c r="A831" s="3"/>
      <c r="B831" s="27"/>
      <c r="C831" s="27"/>
      <c r="D831" s="27"/>
      <c r="E831" s="27"/>
      <c r="F831" s="30"/>
      <c r="G831" s="27"/>
      <c r="H831" s="27"/>
      <c r="I831" s="27"/>
      <c r="J831" s="27"/>
    </row>
    <row r="832">
      <c r="A832" s="3"/>
      <c r="B832" s="27"/>
      <c r="C832" s="27"/>
      <c r="D832" s="27"/>
      <c r="E832" s="27"/>
      <c r="F832" s="30"/>
      <c r="G832" s="27"/>
      <c r="H832" s="27"/>
      <c r="I832" s="27"/>
      <c r="J832" s="27"/>
    </row>
    <row r="833">
      <c r="A833" s="3"/>
      <c r="B833" s="27"/>
      <c r="C833" s="27"/>
      <c r="D833" s="27"/>
      <c r="E833" s="27"/>
      <c r="F833" s="30"/>
      <c r="G833" s="27"/>
      <c r="H833" s="27"/>
      <c r="I833" s="27"/>
      <c r="J833" s="27"/>
    </row>
    <row r="834">
      <c r="A834" s="3"/>
      <c r="B834" s="27"/>
      <c r="C834" s="27"/>
      <c r="D834" s="27"/>
      <c r="E834" s="27"/>
      <c r="F834" s="30"/>
      <c r="G834" s="27"/>
      <c r="H834" s="27"/>
      <c r="I834" s="27"/>
      <c r="J834" s="27"/>
    </row>
    <row r="835">
      <c r="A835" s="3"/>
      <c r="B835" s="27"/>
      <c r="C835" s="27"/>
      <c r="D835" s="27"/>
      <c r="E835" s="27"/>
      <c r="F835" s="30"/>
      <c r="G835" s="27"/>
      <c r="H835" s="27"/>
      <c r="I835" s="27"/>
      <c r="J835" s="27"/>
    </row>
    <row r="836">
      <c r="A836" s="3"/>
      <c r="B836" s="27"/>
      <c r="C836" s="27"/>
      <c r="D836" s="27"/>
      <c r="E836" s="27"/>
      <c r="F836" s="30"/>
      <c r="G836" s="27"/>
      <c r="H836" s="27"/>
      <c r="I836" s="27"/>
      <c r="J836" s="27"/>
    </row>
    <row r="837">
      <c r="A837" s="3"/>
      <c r="B837" s="27"/>
      <c r="C837" s="27"/>
      <c r="D837" s="27"/>
      <c r="E837" s="27"/>
      <c r="F837" s="30"/>
      <c r="G837" s="27"/>
      <c r="H837" s="27"/>
      <c r="I837" s="27"/>
      <c r="J837" s="27"/>
    </row>
    <row r="838">
      <c r="A838" s="3"/>
      <c r="B838" s="27"/>
      <c r="C838" s="27"/>
      <c r="D838" s="27"/>
      <c r="E838" s="27"/>
      <c r="F838" s="30"/>
      <c r="G838" s="27"/>
      <c r="H838" s="27"/>
      <c r="I838" s="27"/>
      <c r="J838" s="27"/>
    </row>
    <row r="839">
      <c r="A839" s="3"/>
      <c r="B839" s="27"/>
      <c r="C839" s="27"/>
      <c r="D839" s="27"/>
      <c r="E839" s="27"/>
      <c r="F839" s="30"/>
      <c r="G839" s="27"/>
      <c r="H839" s="27"/>
      <c r="I839" s="27"/>
      <c r="J839" s="27"/>
    </row>
    <row r="840">
      <c r="A840" s="3"/>
      <c r="B840" s="27"/>
      <c r="C840" s="27"/>
      <c r="D840" s="27"/>
      <c r="E840" s="27"/>
      <c r="F840" s="30"/>
      <c r="G840" s="27"/>
      <c r="H840" s="27"/>
      <c r="I840" s="27"/>
      <c r="J840" s="27"/>
    </row>
    <row r="841">
      <c r="A841" s="3"/>
      <c r="B841" s="27"/>
      <c r="C841" s="27"/>
      <c r="D841" s="27"/>
      <c r="E841" s="27"/>
      <c r="F841" s="30"/>
      <c r="G841" s="27"/>
      <c r="H841" s="27"/>
      <c r="I841" s="27"/>
      <c r="J841" s="27"/>
    </row>
    <row r="842">
      <c r="A842" s="3"/>
      <c r="B842" s="27"/>
      <c r="C842" s="27"/>
      <c r="D842" s="27"/>
      <c r="E842" s="27"/>
      <c r="F842" s="30"/>
      <c r="G842" s="27"/>
      <c r="H842" s="27"/>
      <c r="I842" s="27"/>
      <c r="J842" s="27"/>
    </row>
    <row r="843">
      <c r="A843" s="3"/>
      <c r="B843" s="27"/>
      <c r="C843" s="27"/>
      <c r="D843" s="27"/>
      <c r="E843" s="27"/>
      <c r="F843" s="30"/>
      <c r="G843" s="27"/>
      <c r="H843" s="27"/>
      <c r="I843" s="27"/>
      <c r="J843" s="27"/>
    </row>
    <row r="844">
      <c r="A844" s="3"/>
      <c r="B844" s="27"/>
      <c r="C844" s="27"/>
      <c r="D844" s="27"/>
      <c r="E844" s="27"/>
      <c r="F844" s="30"/>
      <c r="G844" s="27"/>
      <c r="H844" s="27"/>
      <c r="I844" s="27"/>
      <c r="J844" s="27"/>
    </row>
    <row r="845">
      <c r="A845" s="3"/>
      <c r="B845" s="27"/>
      <c r="C845" s="27"/>
      <c r="D845" s="27"/>
      <c r="E845" s="27"/>
      <c r="F845" s="30"/>
      <c r="G845" s="27"/>
      <c r="H845" s="27"/>
      <c r="I845" s="27"/>
      <c r="J845" s="27"/>
    </row>
    <row r="846">
      <c r="A846" s="3"/>
      <c r="B846" s="27"/>
      <c r="C846" s="27"/>
      <c r="D846" s="27"/>
      <c r="E846" s="27"/>
      <c r="F846" s="30"/>
      <c r="G846" s="27"/>
      <c r="H846" s="27"/>
      <c r="I846" s="27"/>
      <c r="J846" s="27"/>
    </row>
    <row r="847">
      <c r="A847" s="3"/>
      <c r="B847" s="27"/>
      <c r="C847" s="27"/>
      <c r="D847" s="27"/>
      <c r="E847" s="27"/>
      <c r="F847" s="30"/>
      <c r="G847" s="27"/>
      <c r="H847" s="27"/>
      <c r="I847" s="27"/>
      <c r="J847" s="27"/>
    </row>
    <row r="848">
      <c r="A848" s="3"/>
      <c r="B848" s="27"/>
      <c r="C848" s="27"/>
      <c r="D848" s="27"/>
      <c r="E848" s="27"/>
      <c r="F848" s="30"/>
      <c r="G848" s="27"/>
      <c r="H848" s="27"/>
      <c r="I848" s="27"/>
      <c r="J848" s="27"/>
    </row>
    <row r="849">
      <c r="A849" s="3"/>
      <c r="B849" s="27"/>
      <c r="C849" s="27"/>
      <c r="D849" s="27"/>
      <c r="E849" s="27"/>
      <c r="F849" s="30"/>
      <c r="G849" s="27"/>
      <c r="H849" s="27"/>
      <c r="I849" s="27"/>
      <c r="J849" s="27"/>
    </row>
    <row r="850">
      <c r="A850" s="3"/>
      <c r="B850" s="27"/>
      <c r="C850" s="27"/>
      <c r="D850" s="27"/>
      <c r="E850" s="27"/>
      <c r="F850" s="30"/>
      <c r="G850" s="27"/>
      <c r="H850" s="27"/>
      <c r="I850" s="27"/>
      <c r="J850" s="27"/>
    </row>
    <row r="851">
      <c r="A851" s="3"/>
      <c r="B851" s="27"/>
      <c r="C851" s="27"/>
      <c r="D851" s="27"/>
      <c r="E851" s="27"/>
      <c r="F851" s="30"/>
      <c r="G851" s="27"/>
      <c r="H851" s="27"/>
      <c r="I851" s="27"/>
      <c r="J851" s="27"/>
    </row>
    <row r="852">
      <c r="A852" s="3"/>
      <c r="B852" s="27"/>
      <c r="C852" s="27"/>
      <c r="D852" s="27"/>
      <c r="E852" s="27"/>
      <c r="F852" s="30"/>
      <c r="G852" s="27"/>
      <c r="H852" s="27"/>
      <c r="I852" s="27"/>
      <c r="J852" s="27"/>
    </row>
    <row r="853">
      <c r="A853" s="3"/>
      <c r="B853" s="27"/>
      <c r="C853" s="27"/>
      <c r="D853" s="27"/>
      <c r="E853" s="27"/>
      <c r="F853" s="30"/>
      <c r="G853" s="27"/>
      <c r="H853" s="27"/>
      <c r="I853" s="27"/>
      <c r="J853" s="27"/>
    </row>
    <row r="854">
      <c r="A854" s="3"/>
      <c r="B854" s="27"/>
      <c r="C854" s="27"/>
      <c r="D854" s="27"/>
      <c r="E854" s="27"/>
      <c r="F854" s="30"/>
      <c r="G854" s="27"/>
      <c r="H854" s="27"/>
      <c r="I854" s="27"/>
      <c r="J854" s="27"/>
    </row>
    <row r="855">
      <c r="A855" s="3"/>
      <c r="B855" s="27"/>
      <c r="C855" s="27"/>
      <c r="D855" s="27"/>
      <c r="E855" s="27"/>
      <c r="F855" s="30"/>
      <c r="G855" s="27"/>
      <c r="H855" s="27"/>
      <c r="I855" s="27"/>
      <c r="J855" s="27"/>
    </row>
    <row r="856">
      <c r="A856" s="3"/>
      <c r="B856" s="27"/>
      <c r="C856" s="27"/>
      <c r="D856" s="27"/>
      <c r="E856" s="27"/>
      <c r="F856" s="30"/>
      <c r="G856" s="27"/>
      <c r="H856" s="27"/>
      <c r="I856" s="27"/>
      <c r="J856" s="27"/>
    </row>
    <row r="857">
      <c r="A857" s="3"/>
      <c r="B857" s="27"/>
      <c r="C857" s="27"/>
      <c r="D857" s="27"/>
      <c r="E857" s="27"/>
      <c r="F857" s="30"/>
      <c r="G857" s="27"/>
      <c r="H857" s="27"/>
      <c r="I857" s="27"/>
      <c r="J857" s="27"/>
    </row>
    <row r="858">
      <c r="A858" s="3"/>
      <c r="B858" s="27"/>
      <c r="C858" s="27"/>
      <c r="D858" s="27"/>
      <c r="E858" s="27"/>
      <c r="F858" s="30"/>
      <c r="G858" s="27"/>
      <c r="H858" s="27"/>
      <c r="I858" s="27"/>
      <c r="J858" s="27"/>
    </row>
    <row r="859">
      <c r="A859" s="3"/>
      <c r="B859" s="27"/>
      <c r="C859" s="27"/>
      <c r="D859" s="27"/>
      <c r="E859" s="27"/>
      <c r="F859" s="30"/>
      <c r="G859" s="27"/>
      <c r="H859" s="27"/>
      <c r="I859" s="27"/>
      <c r="J859" s="27"/>
    </row>
    <row r="860">
      <c r="A860" s="3"/>
      <c r="B860" s="27"/>
      <c r="C860" s="27"/>
      <c r="D860" s="27"/>
      <c r="E860" s="27"/>
      <c r="F860" s="30"/>
      <c r="G860" s="27"/>
      <c r="H860" s="27"/>
      <c r="I860" s="27"/>
      <c r="J860" s="27"/>
    </row>
    <row r="861">
      <c r="A861" s="3"/>
      <c r="B861" s="27"/>
      <c r="C861" s="27"/>
      <c r="D861" s="27"/>
      <c r="E861" s="27"/>
      <c r="F861" s="30"/>
      <c r="G861" s="27"/>
      <c r="H861" s="27"/>
      <c r="I861" s="27"/>
      <c r="J861" s="27"/>
    </row>
    <row r="862">
      <c r="A862" s="3"/>
      <c r="B862" s="27"/>
      <c r="C862" s="27"/>
      <c r="D862" s="27"/>
      <c r="E862" s="27"/>
      <c r="F862" s="30"/>
      <c r="G862" s="27"/>
      <c r="H862" s="27"/>
      <c r="I862" s="27"/>
      <c r="J862" s="27"/>
    </row>
    <row r="863">
      <c r="A863" s="3"/>
      <c r="B863" s="27"/>
      <c r="C863" s="27"/>
      <c r="D863" s="27"/>
      <c r="E863" s="27"/>
      <c r="F863" s="30"/>
      <c r="G863" s="27"/>
      <c r="H863" s="27"/>
      <c r="I863" s="27"/>
      <c r="J863" s="27"/>
    </row>
    <row r="864">
      <c r="A864" s="3"/>
      <c r="B864" s="27"/>
      <c r="C864" s="27"/>
      <c r="D864" s="27"/>
      <c r="E864" s="27"/>
      <c r="F864" s="30"/>
      <c r="G864" s="27"/>
      <c r="H864" s="27"/>
      <c r="I864" s="27"/>
      <c r="J864" s="27"/>
    </row>
    <row r="865">
      <c r="A865" s="3"/>
      <c r="B865" s="27"/>
      <c r="C865" s="27"/>
      <c r="D865" s="27"/>
      <c r="E865" s="27"/>
      <c r="F865" s="30"/>
      <c r="G865" s="27"/>
      <c r="H865" s="27"/>
      <c r="I865" s="27"/>
      <c r="J865" s="27"/>
    </row>
    <row r="866">
      <c r="A866" s="3"/>
      <c r="B866" s="27"/>
      <c r="C866" s="27"/>
      <c r="D866" s="27"/>
      <c r="E866" s="27"/>
      <c r="F866" s="30"/>
      <c r="G866" s="27"/>
      <c r="H866" s="27"/>
      <c r="I866" s="27"/>
      <c r="J866" s="27"/>
    </row>
    <row r="867">
      <c r="A867" s="3"/>
      <c r="B867" s="27"/>
      <c r="C867" s="27"/>
      <c r="D867" s="27"/>
      <c r="E867" s="27"/>
      <c r="F867" s="30"/>
      <c r="G867" s="27"/>
      <c r="H867" s="27"/>
      <c r="I867" s="27"/>
      <c r="J867" s="27"/>
    </row>
    <row r="868">
      <c r="A868" s="3"/>
      <c r="B868" s="27"/>
      <c r="C868" s="27"/>
      <c r="D868" s="27"/>
      <c r="E868" s="27"/>
      <c r="F868" s="30"/>
      <c r="G868" s="27"/>
      <c r="H868" s="27"/>
      <c r="I868" s="27"/>
      <c r="J868" s="27"/>
    </row>
    <row r="869">
      <c r="A869" s="3"/>
      <c r="B869" s="27"/>
      <c r="C869" s="27"/>
      <c r="D869" s="27"/>
      <c r="E869" s="27"/>
      <c r="F869" s="30"/>
      <c r="G869" s="27"/>
      <c r="H869" s="27"/>
      <c r="I869" s="27"/>
      <c r="J869" s="27"/>
    </row>
    <row r="870">
      <c r="A870" s="3"/>
      <c r="B870" s="27"/>
      <c r="C870" s="27"/>
      <c r="D870" s="27"/>
      <c r="E870" s="27"/>
      <c r="F870" s="30"/>
      <c r="G870" s="27"/>
      <c r="H870" s="27"/>
      <c r="I870" s="27"/>
      <c r="J870" s="27"/>
    </row>
    <row r="871">
      <c r="A871" s="3"/>
      <c r="B871" s="27"/>
      <c r="C871" s="27"/>
      <c r="D871" s="27"/>
      <c r="E871" s="27"/>
      <c r="F871" s="30"/>
      <c r="G871" s="27"/>
      <c r="H871" s="27"/>
      <c r="I871" s="27"/>
      <c r="J871" s="27"/>
    </row>
    <row r="872">
      <c r="A872" s="3"/>
      <c r="B872" s="27"/>
      <c r="C872" s="27"/>
      <c r="D872" s="27"/>
      <c r="E872" s="27"/>
      <c r="F872" s="30"/>
      <c r="G872" s="27"/>
      <c r="H872" s="27"/>
      <c r="I872" s="27"/>
      <c r="J872" s="27"/>
    </row>
    <row r="873">
      <c r="A873" s="3"/>
      <c r="B873" s="27"/>
      <c r="C873" s="27"/>
      <c r="D873" s="27"/>
      <c r="E873" s="27"/>
      <c r="F873" s="30"/>
      <c r="G873" s="27"/>
      <c r="H873" s="27"/>
      <c r="I873" s="27"/>
      <c r="J873" s="27"/>
    </row>
    <row r="874">
      <c r="A874" s="3"/>
      <c r="B874" s="27"/>
      <c r="C874" s="27"/>
      <c r="D874" s="27"/>
      <c r="E874" s="27"/>
      <c r="F874" s="30"/>
      <c r="G874" s="27"/>
      <c r="H874" s="27"/>
      <c r="I874" s="27"/>
      <c r="J874" s="27"/>
    </row>
    <row r="875">
      <c r="A875" s="3"/>
      <c r="B875" s="27"/>
      <c r="C875" s="27"/>
      <c r="D875" s="27"/>
      <c r="E875" s="27"/>
      <c r="F875" s="30"/>
      <c r="G875" s="27"/>
      <c r="H875" s="27"/>
      <c r="I875" s="27"/>
      <c r="J875" s="27"/>
    </row>
    <row r="876">
      <c r="A876" s="3"/>
      <c r="B876" s="27"/>
      <c r="C876" s="27"/>
      <c r="D876" s="27"/>
      <c r="E876" s="27"/>
      <c r="F876" s="30"/>
      <c r="G876" s="27"/>
      <c r="H876" s="27"/>
      <c r="I876" s="27"/>
      <c r="J876" s="27"/>
    </row>
    <row r="877">
      <c r="A877" s="3"/>
      <c r="B877" s="27"/>
      <c r="C877" s="27"/>
      <c r="D877" s="27"/>
      <c r="E877" s="27"/>
      <c r="F877" s="30"/>
      <c r="G877" s="27"/>
      <c r="H877" s="27"/>
      <c r="I877" s="27"/>
      <c r="J877" s="27"/>
    </row>
    <row r="878">
      <c r="A878" s="3"/>
      <c r="B878" s="27"/>
      <c r="C878" s="27"/>
      <c r="D878" s="27"/>
      <c r="E878" s="27"/>
      <c r="F878" s="30"/>
      <c r="G878" s="27"/>
      <c r="H878" s="27"/>
      <c r="I878" s="27"/>
      <c r="J878" s="27"/>
    </row>
    <row r="879">
      <c r="A879" s="3"/>
      <c r="B879" s="27"/>
      <c r="C879" s="27"/>
      <c r="D879" s="27"/>
      <c r="E879" s="27"/>
      <c r="F879" s="30"/>
      <c r="G879" s="27"/>
      <c r="H879" s="27"/>
      <c r="I879" s="27"/>
      <c r="J879" s="27"/>
    </row>
    <row r="880">
      <c r="A880" s="3"/>
      <c r="B880" s="27"/>
      <c r="C880" s="27"/>
      <c r="D880" s="27"/>
      <c r="E880" s="27"/>
      <c r="F880" s="30"/>
      <c r="G880" s="27"/>
      <c r="H880" s="27"/>
      <c r="I880" s="27"/>
      <c r="J880" s="27"/>
    </row>
    <row r="881">
      <c r="A881" s="3"/>
      <c r="B881" s="27"/>
      <c r="C881" s="27"/>
      <c r="D881" s="27"/>
      <c r="E881" s="27"/>
      <c r="F881" s="30"/>
      <c r="G881" s="27"/>
      <c r="H881" s="27"/>
      <c r="I881" s="27"/>
      <c r="J881" s="27"/>
    </row>
    <row r="882">
      <c r="A882" s="3"/>
      <c r="B882" s="27"/>
      <c r="C882" s="27"/>
      <c r="D882" s="27"/>
      <c r="E882" s="27"/>
      <c r="F882" s="30"/>
      <c r="G882" s="27"/>
      <c r="H882" s="27"/>
      <c r="I882" s="27"/>
      <c r="J882" s="27"/>
    </row>
    <row r="883">
      <c r="A883" s="3"/>
      <c r="B883" s="27"/>
      <c r="C883" s="27"/>
      <c r="D883" s="27"/>
      <c r="E883" s="27"/>
      <c r="F883" s="30"/>
      <c r="G883" s="27"/>
      <c r="H883" s="27"/>
      <c r="I883" s="27"/>
      <c r="J883" s="27"/>
    </row>
    <row r="884">
      <c r="A884" s="3"/>
      <c r="B884" s="27"/>
      <c r="C884" s="27"/>
      <c r="D884" s="27"/>
      <c r="E884" s="27"/>
      <c r="F884" s="30"/>
      <c r="G884" s="27"/>
      <c r="H884" s="27"/>
      <c r="I884" s="27"/>
      <c r="J884" s="27"/>
    </row>
    <row r="885">
      <c r="A885" s="3"/>
      <c r="B885" s="27"/>
      <c r="C885" s="27"/>
      <c r="D885" s="27"/>
      <c r="E885" s="27"/>
      <c r="F885" s="30"/>
      <c r="G885" s="27"/>
      <c r="H885" s="27"/>
      <c r="I885" s="27"/>
      <c r="J885" s="27"/>
    </row>
    <row r="886">
      <c r="A886" s="3"/>
      <c r="B886" s="27"/>
      <c r="C886" s="27"/>
      <c r="D886" s="27"/>
      <c r="E886" s="27"/>
      <c r="F886" s="30"/>
      <c r="G886" s="27"/>
      <c r="H886" s="27"/>
      <c r="I886" s="27"/>
      <c r="J886" s="27"/>
    </row>
    <row r="887">
      <c r="A887" s="3"/>
      <c r="B887" s="27"/>
      <c r="C887" s="27"/>
      <c r="D887" s="27"/>
      <c r="E887" s="27"/>
      <c r="F887" s="30"/>
      <c r="G887" s="27"/>
      <c r="H887" s="27"/>
      <c r="I887" s="27"/>
      <c r="J887" s="27"/>
    </row>
    <row r="888">
      <c r="A888" s="3"/>
      <c r="B888" s="27"/>
      <c r="C888" s="27"/>
      <c r="D888" s="27"/>
      <c r="E888" s="27"/>
      <c r="F888" s="30"/>
      <c r="G888" s="27"/>
      <c r="H888" s="27"/>
      <c r="I888" s="27"/>
      <c r="J888" s="27"/>
    </row>
    <row r="889">
      <c r="A889" s="3"/>
      <c r="B889" s="27"/>
      <c r="C889" s="27"/>
      <c r="D889" s="27"/>
      <c r="E889" s="27"/>
      <c r="F889" s="30"/>
      <c r="G889" s="27"/>
      <c r="H889" s="27"/>
      <c r="I889" s="27"/>
      <c r="J889" s="27"/>
    </row>
    <row r="890">
      <c r="A890" s="3"/>
      <c r="B890" s="27"/>
      <c r="C890" s="27"/>
      <c r="D890" s="27"/>
      <c r="E890" s="27"/>
      <c r="F890" s="30"/>
      <c r="G890" s="27"/>
      <c r="H890" s="27"/>
      <c r="I890" s="27"/>
      <c r="J890" s="27"/>
    </row>
    <row r="891">
      <c r="A891" s="3"/>
      <c r="B891" s="27"/>
      <c r="C891" s="27"/>
      <c r="D891" s="27"/>
      <c r="E891" s="27"/>
      <c r="F891" s="30"/>
      <c r="G891" s="27"/>
      <c r="H891" s="27"/>
      <c r="I891" s="27"/>
      <c r="J891" s="27"/>
    </row>
    <row r="892">
      <c r="A892" s="3"/>
      <c r="B892" s="27"/>
      <c r="C892" s="27"/>
      <c r="D892" s="27"/>
      <c r="E892" s="27"/>
      <c r="F892" s="30"/>
      <c r="G892" s="27"/>
      <c r="H892" s="27"/>
      <c r="I892" s="27"/>
      <c r="J892" s="27"/>
    </row>
    <row r="893">
      <c r="A893" s="3"/>
      <c r="B893" s="27"/>
      <c r="C893" s="27"/>
      <c r="D893" s="27"/>
      <c r="E893" s="27"/>
      <c r="F893" s="30"/>
      <c r="G893" s="27"/>
      <c r="H893" s="27"/>
      <c r="I893" s="27"/>
      <c r="J893" s="27"/>
    </row>
    <row r="894">
      <c r="A894" s="3"/>
      <c r="B894" s="27"/>
      <c r="C894" s="27"/>
      <c r="D894" s="27"/>
      <c r="E894" s="27"/>
      <c r="F894" s="30"/>
      <c r="G894" s="27"/>
      <c r="H894" s="27"/>
      <c r="I894" s="27"/>
      <c r="J894" s="27"/>
    </row>
    <row r="895">
      <c r="A895" s="3"/>
      <c r="B895" s="27"/>
      <c r="C895" s="27"/>
      <c r="D895" s="27"/>
      <c r="E895" s="27"/>
      <c r="F895" s="30"/>
      <c r="G895" s="27"/>
      <c r="H895" s="27"/>
      <c r="I895" s="27"/>
      <c r="J895" s="27"/>
    </row>
    <row r="896">
      <c r="A896" s="3"/>
      <c r="B896" s="27"/>
      <c r="C896" s="27"/>
      <c r="D896" s="27"/>
      <c r="E896" s="27"/>
      <c r="F896" s="30"/>
      <c r="G896" s="27"/>
      <c r="H896" s="27"/>
      <c r="I896" s="27"/>
      <c r="J896" s="27"/>
    </row>
    <row r="897">
      <c r="A897" s="3"/>
      <c r="B897" s="27"/>
      <c r="C897" s="27"/>
      <c r="D897" s="27"/>
      <c r="E897" s="27"/>
      <c r="F897" s="30"/>
      <c r="G897" s="27"/>
      <c r="H897" s="27"/>
      <c r="I897" s="27"/>
      <c r="J897" s="27"/>
    </row>
    <row r="898">
      <c r="A898" s="3"/>
      <c r="B898" s="27"/>
      <c r="C898" s="27"/>
      <c r="D898" s="27"/>
      <c r="E898" s="27"/>
      <c r="F898" s="30"/>
      <c r="G898" s="27"/>
      <c r="H898" s="27"/>
      <c r="I898" s="27"/>
      <c r="J898" s="27"/>
    </row>
    <row r="899">
      <c r="A899" s="3"/>
      <c r="B899" s="27"/>
      <c r="C899" s="27"/>
      <c r="D899" s="27"/>
      <c r="E899" s="27"/>
      <c r="F899" s="30"/>
      <c r="G899" s="27"/>
      <c r="H899" s="27"/>
      <c r="I899" s="27"/>
      <c r="J899" s="27"/>
    </row>
    <row r="900">
      <c r="A900" s="3"/>
      <c r="B900" s="27"/>
      <c r="C900" s="27"/>
      <c r="D900" s="27"/>
      <c r="E900" s="27"/>
      <c r="F900" s="30"/>
      <c r="G900" s="27"/>
      <c r="H900" s="27"/>
      <c r="I900" s="27"/>
      <c r="J900" s="27"/>
    </row>
    <row r="901">
      <c r="A901" s="3"/>
      <c r="B901" s="27"/>
      <c r="C901" s="27"/>
      <c r="D901" s="27"/>
      <c r="E901" s="27"/>
      <c r="F901" s="30"/>
      <c r="G901" s="27"/>
      <c r="H901" s="27"/>
      <c r="I901" s="27"/>
      <c r="J901" s="27"/>
    </row>
    <row r="902">
      <c r="A902" s="3"/>
      <c r="B902" s="27"/>
      <c r="C902" s="27"/>
      <c r="D902" s="27"/>
      <c r="E902" s="27"/>
      <c r="F902" s="30"/>
      <c r="G902" s="27"/>
      <c r="H902" s="27"/>
      <c r="I902" s="27"/>
      <c r="J902" s="27"/>
    </row>
    <row r="903">
      <c r="A903" s="3"/>
      <c r="B903" s="27"/>
      <c r="C903" s="27"/>
      <c r="D903" s="27"/>
      <c r="E903" s="27"/>
      <c r="F903" s="30"/>
      <c r="G903" s="27"/>
      <c r="H903" s="27"/>
      <c r="I903" s="27"/>
      <c r="J903" s="27"/>
    </row>
    <row r="904">
      <c r="A904" s="3"/>
      <c r="B904" s="27"/>
      <c r="C904" s="27"/>
      <c r="D904" s="27"/>
      <c r="E904" s="27"/>
      <c r="F904" s="30"/>
      <c r="G904" s="27"/>
      <c r="H904" s="27"/>
      <c r="I904" s="27"/>
      <c r="J904" s="27"/>
    </row>
    <row r="905">
      <c r="A905" s="3"/>
      <c r="B905" s="27"/>
      <c r="C905" s="27"/>
      <c r="D905" s="27"/>
      <c r="E905" s="27"/>
      <c r="F905" s="30"/>
      <c r="G905" s="27"/>
      <c r="H905" s="27"/>
      <c r="I905" s="27"/>
      <c r="J905" s="27"/>
    </row>
    <row r="906">
      <c r="A906" s="3"/>
      <c r="B906" s="27"/>
      <c r="C906" s="27"/>
      <c r="D906" s="27"/>
      <c r="E906" s="27"/>
      <c r="F906" s="30"/>
      <c r="G906" s="27"/>
      <c r="H906" s="27"/>
      <c r="I906" s="27"/>
      <c r="J906" s="27"/>
    </row>
    <row r="907">
      <c r="A907" s="3"/>
      <c r="B907" s="27"/>
      <c r="C907" s="27"/>
      <c r="D907" s="27"/>
      <c r="E907" s="27"/>
      <c r="F907" s="30"/>
      <c r="G907" s="27"/>
      <c r="H907" s="27"/>
      <c r="I907" s="27"/>
      <c r="J907" s="27"/>
    </row>
    <row r="908">
      <c r="A908" s="3"/>
      <c r="B908" s="27"/>
      <c r="C908" s="27"/>
      <c r="D908" s="27"/>
      <c r="E908" s="27"/>
      <c r="F908" s="30"/>
      <c r="G908" s="27"/>
      <c r="H908" s="27"/>
      <c r="I908" s="27"/>
      <c r="J908" s="27"/>
    </row>
    <row r="909">
      <c r="A909" s="3"/>
      <c r="B909" s="27"/>
      <c r="C909" s="27"/>
      <c r="D909" s="27"/>
      <c r="E909" s="27"/>
      <c r="F909" s="30"/>
      <c r="G909" s="27"/>
      <c r="H909" s="27"/>
      <c r="I909" s="27"/>
      <c r="J909" s="27"/>
    </row>
    <row r="910">
      <c r="A910" s="3"/>
      <c r="B910" s="27"/>
      <c r="C910" s="27"/>
      <c r="D910" s="27"/>
      <c r="E910" s="27"/>
      <c r="F910" s="30"/>
      <c r="G910" s="27"/>
      <c r="H910" s="27"/>
      <c r="I910" s="27"/>
      <c r="J910" s="27"/>
    </row>
    <row r="911">
      <c r="A911" s="3"/>
      <c r="B911" s="27"/>
      <c r="C911" s="27"/>
      <c r="D911" s="27"/>
      <c r="E911" s="27"/>
      <c r="F911" s="30"/>
      <c r="G911" s="27"/>
      <c r="H911" s="27"/>
      <c r="I911" s="27"/>
      <c r="J911" s="27"/>
    </row>
    <row r="912">
      <c r="A912" s="3"/>
      <c r="B912" s="27"/>
      <c r="C912" s="27"/>
      <c r="D912" s="27"/>
      <c r="E912" s="27"/>
      <c r="F912" s="30"/>
      <c r="G912" s="27"/>
      <c r="H912" s="27"/>
      <c r="I912" s="27"/>
      <c r="J912" s="27"/>
    </row>
    <row r="913">
      <c r="A913" s="3"/>
      <c r="B913" s="27"/>
      <c r="C913" s="27"/>
      <c r="D913" s="27"/>
      <c r="E913" s="27"/>
      <c r="F913" s="30"/>
      <c r="G913" s="27"/>
      <c r="H913" s="27"/>
      <c r="I913" s="27"/>
      <c r="J913" s="27"/>
    </row>
    <row r="914">
      <c r="A914" s="3"/>
      <c r="B914" s="27"/>
      <c r="C914" s="27"/>
      <c r="D914" s="27"/>
      <c r="E914" s="27"/>
      <c r="F914" s="30"/>
      <c r="G914" s="27"/>
      <c r="H914" s="27"/>
      <c r="I914" s="27"/>
      <c r="J914" s="27"/>
    </row>
    <row r="915">
      <c r="A915" s="3"/>
      <c r="B915" s="27"/>
      <c r="C915" s="27"/>
      <c r="D915" s="27"/>
      <c r="E915" s="27"/>
      <c r="F915" s="30"/>
      <c r="G915" s="27"/>
      <c r="H915" s="27"/>
      <c r="I915" s="27"/>
      <c r="J915" s="27"/>
    </row>
    <row r="916">
      <c r="A916" s="3"/>
      <c r="B916" s="27"/>
      <c r="C916" s="27"/>
      <c r="D916" s="27"/>
      <c r="E916" s="27"/>
      <c r="F916" s="30"/>
      <c r="G916" s="27"/>
      <c r="H916" s="27"/>
      <c r="I916" s="27"/>
      <c r="J916" s="27"/>
    </row>
    <row r="917">
      <c r="A917" s="3"/>
      <c r="B917" s="27"/>
      <c r="C917" s="27"/>
      <c r="D917" s="27"/>
      <c r="E917" s="27"/>
      <c r="F917" s="30"/>
      <c r="G917" s="27"/>
      <c r="H917" s="27"/>
      <c r="I917" s="27"/>
      <c r="J917" s="27"/>
    </row>
    <row r="918">
      <c r="A918" s="3"/>
      <c r="B918" s="27"/>
      <c r="C918" s="27"/>
      <c r="D918" s="27"/>
      <c r="E918" s="27"/>
      <c r="F918" s="30"/>
      <c r="G918" s="27"/>
      <c r="H918" s="27"/>
      <c r="I918" s="27"/>
      <c r="J918" s="27"/>
    </row>
    <row r="919">
      <c r="A919" s="3"/>
      <c r="B919" s="27"/>
      <c r="C919" s="27"/>
      <c r="D919" s="27"/>
      <c r="E919" s="27"/>
      <c r="F919" s="30"/>
      <c r="G919" s="27"/>
      <c r="H919" s="27"/>
      <c r="I919" s="27"/>
      <c r="J919" s="27"/>
    </row>
    <row r="920">
      <c r="A920" s="3"/>
      <c r="B920" s="27"/>
      <c r="C920" s="27"/>
      <c r="D920" s="27"/>
      <c r="E920" s="27"/>
      <c r="F920" s="30"/>
      <c r="G920" s="27"/>
      <c r="H920" s="27"/>
      <c r="I920" s="27"/>
      <c r="J920" s="27"/>
    </row>
    <row r="921">
      <c r="A921" s="3"/>
      <c r="B921" s="27"/>
      <c r="C921" s="27"/>
      <c r="D921" s="27"/>
      <c r="E921" s="27"/>
      <c r="F921" s="30"/>
      <c r="G921" s="27"/>
      <c r="H921" s="27"/>
      <c r="I921" s="27"/>
      <c r="J921" s="27"/>
    </row>
    <row r="922">
      <c r="A922" s="3"/>
      <c r="B922" s="27"/>
      <c r="C922" s="27"/>
      <c r="D922" s="27"/>
      <c r="E922" s="27"/>
      <c r="F922" s="30"/>
      <c r="G922" s="27"/>
      <c r="H922" s="27"/>
      <c r="I922" s="27"/>
      <c r="J922" s="27"/>
    </row>
    <row r="923">
      <c r="A923" s="3"/>
      <c r="B923" s="27"/>
      <c r="C923" s="27"/>
      <c r="D923" s="27"/>
      <c r="E923" s="27"/>
      <c r="F923" s="30"/>
      <c r="G923" s="27"/>
      <c r="H923" s="27"/>
      <c r="I923" s="27"/>
      <c r="J923" s="27"/>
    </row>
    <row r="924">
      <c r="A924" s="3"/>
      <c r="B924" s="27"/>
      <c r="C924" s="27"/>
      <c r="D924" s="27"/>
      <c r="E924" s="27"/>
      <c r="F924" s="30"/>
      <c r="G924" s="27"/>
      <c r="H924" s="27"/>
      <c r="I924" s="27"/>
      <c r="J924" s="27"/>
    </row>
    <row r="925">
      <c r="A925" s="3"/>
      <c r="B925" s="27"/>
      <c r="C925" s="27"/>
      <c r="D925" s="27"/>
      <c r="E925" s="27"/>
      <c r="F925" s="30"/>
      <c r="G925" s="27"/>
      <c r="H925" s="27"/>
      <c r="I925" s="27"/>
      <c r="J925" s="27"/>
    </row>
    <row r="926">
      <c r="A926" s="3"/>
      <c r="B926" s="27"/>
      <c r="C926" s="27"/>
      <c r="D926" s="27"/>
      <c r="E926" s="27"/>
      <c r="F926" s="30"/>
      <c r="G926" s="27"/>
      <c r="H926" s="27"/>
      <c r="I926" s="27"/>
      <c r="J926" s="27"/>
    </row>
    <row r="927">
      <c r="A927" s="3"/>
      <c r="B927" s="27"/>
      <c r="C927" s="27"/>
      <c r="D927" s="27"/>
      <c r="E927" s="27"/>
      <c r="F927" s="30"/>
      <c r="G927" s="27"/>
      <c r="H927" s="27"/>
      <c r="I927" s="27"/>
      <c r="J927" s="27"/>
    </row>
    <row r="928">
      <c r="A928" s="3"/>
      <c r="B928" s="27"/>
      <c r="C928" s="27"/>
      <c r="D928" s="27"/>
      <c r="E928" s="27"/>
      <c r="F928" s="30"/>
      <c r="G928" s="27"/>
      <c r="H928" s="27"/>
      <c r="I928" s="27"/>
      <c r="J928" s="27"/>
    </row>
    <row r="929">
      <c r="A929" s="3"/>
      <c r="B929" s="27"/>
      <c r="C929" s="27"/>
      <c r="D929" s="27"/>
      <c r="E929" s="27"/>
      <c r="F929" s="30"/>
      <c r="G929" s="27"/>
      <c r="H929" s="27"/>
      <c r="I929" s="27"/>
      <c r="J929" s="27"/>
    </row>
    <row r="930">
      <c r="A930" s="3"/>
      <c r="B930" s="27"/>
      <c r="C930" s="27"/>
      <c r="D930" s="27"/>
      <c r="E930" s="27"/>
      <c r="F930" s="30"/>
      <c r="G930" s="27"/>
      <c r="H930" s="27"/>
      <c r="I930" s="27"/>
      <c r="J930" s="27"/>
    </row>
    <row r="931">
      <c r="A931" s="3"/>
      <c r="B931" s="27"/>
      <c r="C931" s="27"/>
      <c r="D931" s="27"/>
      <c r="E931" s="27"/>
      <c r="F931" s="30"/>
      <c r="G931" s="27"/>
      <c r="H931" s="27"/>
      <c r="I931" s="27"/>
      <c r="J931" s="27"/>
    </row>
    <row r="932">
      <c r="A932" s="3"/>
      <c r="B932" s="27"/>
      <c r="C932" s="27"/>
      <c r="D932" s="27"/>
      <c r="E932" s="27"/>
      <c r="F932" s="30"/>
      <c r="G932" s="27"/>
      <c r="H932" s="27"/>
      <c r="I932" s="27"/>
      <c r="J932" s="27"/>
    </row>
    <row r="933">
      <c r="A933" s="3"/>
      <c r="B933" s="27"/>
      <c r="C933" s="27"/>
      <c r="D933" s="27"/>
      <c r="E933" s="27"/>
      <c r="F933" s="30"/>
      <c r="G933" s="27"/>
      <c r="H933" s="27"/>
      <c r="I933" s="27"/>
      <c r="J933" s="27"/>
    </row>
    <row r="934">
      <c r="A934" s="3"/>
      <c r="B934" s="27"/>
      <c r="C934" s="27"/>
      <c r="D934" s="27"/>
      <c r="E934" s="27"/>
      <c r="F934" s="30"/>
      <c r="G934" s="27"/>
      <c r="H934" s="27"/>
      <c r="I934" s="27"/>
      <c r="J934" s="27"/>
    </row>
    <row r="935">
      <c r="A935" s="3"/>
      <c r="B935" s="27"/>
      <c r="C935" s="27"/>
      <c r="D935" s="27"/>
      <c r="E935" s="27"/>
      <c r="F935" s="30"/>
      <c r="G935" s="27"/>
      <c r="H935" s="27"/>
      <c r="I935" s="27"/>
      <c r="J935" s="27"/>
    </row>
    <row r="936">
      <c r="A936" s="3"/>
      <c r="B936" s="27"/>
      <c r="C936" s="27"/>
      <c r="D936" s="27"/>
      <c r="E936" s="27"/>
      <c r="F936" s="30"/>
      <c r="G936" s="27"/>
      <c r="H936" s="27"/>
      <c r="I936" s="27"/>
      <c r="J936" s="27"/>
    </row>
    <row r="937">
      <c r="A937" s="3"/>
      <c r="B937" s="27"/>
      <c r="C937" s="27"/>
      <c r="D937" s="27"/>
      <c r="E937" s="27"/>
      <c r="F937" s="30"/>
      <c r="G937" s="27"/>
      <c r="H937" s="27"/>
      <c r="I937" s="27"/>
      <c r="J937" s="27"/>
    </row>
    <row r="938">
      <c r="A938" s="3"/>
      <c r="B938" s="27"/>
      <c r="C938" s="27"/>
      <c r="D938" s="27"/>
      <c r="E938" s="27"/>
      <c r="F938" s="30"/>
      <c r="G938" s="27"/>
      <c r="H938" s="27"/>
      <c r="I938" s="27"/>
      <c r="J938" s="27"/>
    </row>
    <row r="939">
      <c r="A939" s="3"/>
      <c r="B939" s="27"/>
      <c r="C939" s="27"/>
      <c r="D939" s="27"/>
      <c r="E939" s="27"/>
      <c r="F939" s="30"/>
      <c r="G939" s="27"/>
      <c r="H939" s="27"/>
      <c r="I939" s="27"/>
      <c r="J939" s="27"/>
    </row>
    <row r="940">
      <c r="A940" s="3"/>
      <c r="B940" s="27"/>
      <c r="C940" s="27"/>
      <c r="D940" s="27"/>
      <c r="E940" s="27"/>
      <c r="F940" s="30"/>
      <c r="G940" s="27"/>
      <c r="H940" s="27"/>
      <c r="I940" s="27"/>
      <c r="J940" s="27"/>
    </row>
    <row r="941">
      <c r="A941" s="3"/>
      <c r="B941" s="27"/>
      <c r="C941" s="27"/>
      <c r="D941" s="27"/>
      <c r="E941" s="27"/>
      <c r="F941" s="30"/>
      <c r="G941" s="27"/>
      <c r="H941" s="27"/>
      <c r="I941" s="27"/>
      <c r="J941" s="27"/>
    </row>
    <row r="942">
      <c r="A942" s="3"/>
      <c r="B942" s="27"/>
      <c r="C942" s="27"/>
      <c r="D942" s="27"/>
      <c r="E942" s="27"/>
      <c r="F942" s="30"/>
      <c r="G942" s="27"/>
      <c r="H942" s="27"/>
      <c r="I942" s="27"/>
      <c r="J942" s="27"/>
    </row>
    <row r="943">
      <c r="A943" s="3"/>
      <c r="B943" s="27"/>
      <c r="C943" s="27"/>
      <c r="D943" s="27"/>
      <c r="E943" s="27"/>
      <c r="F943" s="30"/>
      <c r="G943" s="27"/>
      <c r="H943" s="27"/>
      <c r="I943" s="27"/>
      <c r="J943" s="27"/>
    </row>
    <row r="944">
      <c r="A944" s="3"/>
      <c r="B944" s="27"/>
      <c r="C944" s="27"/>
      <c r="D944" s="27"/>
      <c r="E944" s="27"/>
      <c r="F944" s="30"/>
      <c r="G944" s="27"/>
      <c r="H944" s="27"/>
      <c r="I944" s="27"/>
      <c r="J944" s="27"/>
    </row>
    <row r="945">
      <c r="A945" s="3"/>
      <c r="B945" s="27"/>
      <c r="C945" s="27"/>
      <c r="D945" s="27"/>
      <c r="E945" s="27"/>
      <c r="F945" s="30"/>
      <c r="G945" s="27"/>
      <c r="H945" s="27"/>
      <c r="I945" s="27"/>
      <c r="J945" s="27"/>
    </row>
    <row r="946">
      <c r="A946" s="3"/>
      <c r="B946" s="27"/>
      <c r="C946" s="27"/>
      <c r="D946" s="27"/>
      <c r="E946" s="27"/>
      <c r="F946" s="30"/>
      <c r="G946" s="27"/>
      <c r="H946" s="27"/>
      <c r="I946" s="27"/>
      <c r="J946" s="27"/>
    </row>
    <row r="947">
      <c r="A947" s="3"/>
      <c r="B947" s="27"/>
      <c r="C947" s="27"/>
      <c r="D947" s="27"/>
      <c r="E947" s="27"/>
      <c r="F947" s="30"/>
      <c r="G947" s="27"/>
      <c r="H947" s="27"/>
      <c r="I947" s="27"/>
      <c r="J947" s="27"/>
    </row>
    <row r="948">
      <c r="A948" s="3"/>
      <c r="B948" s="27"/>
      <c r="C948" s="27"/>
      <c r="D948" s="27"/>
      <c r="E948" s="27"/>
      <c r="F948" s="30"/>
      <c r="G948" s="27"/>
      <c r="H948" s="27"/>
      <c r="I948" s="27"/>
      <c r="J948" s="27"/>
    </row>
    <row r="949">
      <c r="A949" s="3"/>
      <c r="B949" s="27"/>
      <c r="C949" s="27"/>
      <c r="D949" s="27"/>
      <c r="E949" s="27"/>
      <c r="F949" s="30"/>
      <c r="G949" s="27"/>
      <c r="H949" s="27"/>
      <c r="I949" s="27"/>
      <c r="J949" s="27"/>
    </row>
    <row r="950">
      <c r="A950" s="3"/>
      <c r="B950" s="27"/>
      <c r="C950" s="27"/>
      <c r="D950" s="27"/>
      <c r="E950" s="27"/>
      <c r="F950" s="30"/>
      <c r="G950" s="27"/>
      <c r="H950" s="27"/>
      <c r="I950" s="27"/>
      <c r="J950" s="27"/>
    </row>
    <row r="951">
      <c r="A951" s="3"/>
      <c r="B951" s="27"/>
      <c r="C951" s="27"/>
      <c r="D951" s="27"/>
      <c r="E951" s="27"/>
      <c r="F951" s="30"/>
      <c r="G951" s="27"/>
      <c r="H951" s="27"/>
      <c r="I951" s="27"/>
      <c r="J951" s="27"/>
    </row>
    <row r="952">
      <c r="A952" s="3"/>
      <c r="B952" s="27"/>
      <c r="C952" s="27"/>
      <c r="D952" s="27"/>
      <c r="E952" s="27"/>
      <c r="F952" s="30"/>
      <c r="G952" s="27"/>
      <c r="H952" s="27"/>
      <c r="I952" s="27"/>
      <c r="J952" s="27"/>
    </row>
    <row r="953">
      <c r="A953" s="3"/>
      <c r="B953" s="27"/>
      <c r="C953" s="27"/>
      <c r="D953" s="27"/>
      <c r="E953" s="27"/>
      <c r="F953" s="30"/>
      <c r="G953" s="27"/>
      <c r="H953" s="27"/>
      <c r="I953" s="27"/>
      <c r="J953" s="27"/>
    </row>
    <row r="954">
      <c r="A954" s="3"/>
      <c r="B954" s="27"/>
      <c r="C954" s="27"/>
      <c r="D954" s="27"/>
      <c r="E954" s="27"/>
      <c r="F954" s="30"/>
      <c r="G954" s="27"/>
      <c r="H954" s="27"/>
      <c r="I954" s="27"/>
      <c r="J954" s="27"/>
    </row>
    <row r="955">
      <c r="A955" s="3"/>
      <c r="B955" s="27"/>
      <c r="C955" s="27"/>
      <c r="D955" s="27"/>
      <c r="E955" s="27"/>
      <c r="F955" s="30"/>
      <c r="G955" s="27"/>
      <c r="H955" s="27"/>
      <c r="I955" s="27"/>
      <c r="J955" s="27"/>
    </row>
    <row r="956">
      <c r="A956" s="3"/>
      <c r="B956" s="27"/>
      <c r="C956" s="27"/>
      <c r="D956" s="27"/>
      <c r="E956" s="27"/>
      <c r="F956" s="30"/>
      <c r="G956" s="27"/>
      <c r="H956" s="27"/>
      <c r="I956" s="27"/>
      <c r="J956" s="27"/>
    </row>
    <row r="957">
      <c r="A957" s="3"/>
      <c r="B957" s="27"/>
      <c r="C957" s="27"/>
      <c r="D957" s="27"/>
      <c r="E957" s="27"/>
      <c r="F957" s="30"/>
      <c r="G957" s="27"/>
      <c r="H957" s="27"/>
      <c r="I957" s="27"/>
      <c r="J957" s="27"/>
    </row>
    <row r="958">
      <c r="A958" s="3"/>
      <c r="B958" s="27"/>
      <c r="C958" s="27"/>
      <c r="D958" s="27"/>
      <c r="E958" s="27"/>
      <c r="F958" s="30"/>
      <c r="G958" s="27"/>
      <c r="H958" s="27"/>
      <c r="I958" s="27"/>
      <c r="J958" s="27"/>
    </row>
    <row r="959">
      <c r="A959" s="3"/>
      <c r="B959" s="27"/>
      <c r="C959" s="27"/>
      <c r="D959" s="27"/>
      <c r="E959" s="27"/>
      <c r="F959" s="30"/>
      <c r="G959" s="27"/>
      <c r="H959" s="27"/>
      <c r="I959" s="27"/>
      <c r="J959" s="27"/>
    </row>
    <row r="960">
      <c r="A960" s="3"/>
      <c r="B960" s="27"/>
      <c r="C960" s="27"/>
      <c r="D960" s="27"/>
      <c r="E960" s="27"/>
      <c r="F960" s="30"/>
      <c r="G960" s="27"/>
      <c r="H960" s="27"/>
      <c r="I960" s="27"/>
      <c r="J960" s="27"/>
    </row>
    <row r="961">
      <c r="A961" s="3"/>
      <c r="B961" s="27"/>
      <c r="C961" s="27"/>
      <c r="D961" s="27"/>
      <c r="E961" s="27"/>
      <c r="F961" s="30"/>
      <c r="G961" s="27"/>
      <c r="H961" s="27"/>
      <c r="I961" s="27"/>
      <c r="J961" s="27"/>
    </row>
    <row r="962">
      <c r="A962" s="3"/>
      <c r="B962" s="27"/>
      <c r="C962" s="27"/>
      <c r="D962" s="27"/>
      <c r="E962" s="27"/>
      <c r="F962" s="30"/>
      <c r="G962" s="27"/>
      <c r="H962" s="27"/>
      <c r="I962" s="27"/>
      <c r="J962" s="27"/>
    </row>
    <row r="963">
      <c r="A963" s="3"/>
      <c r="B963" s="27"/>
      <c r="C963" s="27"/>
      <c r="D963" s="27"/>
      <c r="E963" s="27"/>
      <c r="F963" s="30"/>
      <c r="G963" s="27"/>
      <c r="H963" s="27"/>
      <c r="I963" s="27"/>
      <c r="J963" s="27"/>
    </row>
    <row r="964">
      <c r="A964" s="3"/>
      <c r="B964" s="27"/>
      <c r="C964" s="27"/>
      <c r="D964" s="27"/>
      <c r="E964" s="27"/>
      <c r="F964" s="30"/>
      <c r="G964" s="27"/>
      <c r="H964" s="27"/>
      <c r="I964" s="27"/>
      <c r="J964" s="27"/>
    </row>
    <row r="965">
      <c r="A965" s="3"/>
      <c r="B965" s="27"/>
      <c r="C965" s="27"/>
      <c r="D965" s="27"/>
      <c r="E965" s="27"/>
      <c r="F965" s="30"/>
      <c r="G965" s="27"/>
      <c r="H965" s="27"/>
      <c r="I965" s="27"/>
      <c r="J965" s="27"/>
    </row>
    <row r="966">
      <c r="A966" s="3"/>
      <c r="B966" s="27"/>
      <c r="C966" s="27"/>
      <c r="D966" s="27"/>
      <c r="E966" s="27"/>
      <c r="F966" s="30"/>
      <c r="G966" s="27"/>
      <c r="H966" s="27"/>
      <c r="I966" s="27"/>
      <c r="J966" s="27"/>
    </row>
    <row r="967">
      <c r="A967" s="3"/>
      <c r="B967" s="27"/>
      <c r="C967" s="27"/>
      <c r="D967" s="27"/>
      <c r="E967" s="27"/>
      <c r="F967" s="30"/>
      <c r="G967" s="27"/>
      <c r="H967" s="27"/>
      <c r="I967" s="27"/>
      <c r="J967" s="27"/>
    </row>
    <row r="968">
      <c r="A968" s="3"/>
      <c r="B968" s="27"/>
      <c r="C968" s="27"/>
      <c r="D968" s="27"/>
      <c r="E968" s="27"/>
      <c r="F968" s="30"/>
      <c r="G968" s="27"/>
      <c r="H968" s="27"/>
      <c r="I968" s="27"/>
      <c r="J968" s="27"/>
    </row>
    <row r="969">
      <c r="A969" s="3"/>
      <c r="B969" s="27"/>
      <c r="C969" s="27"/>
      <c r="D969" s="27"/>
      <c r="E969" s="27"/>
      <c r="F969" s="30"/>
      <c r="G969" s="27"/>
      <c r="H969" s="27"/>
      <c r="I969" s="27"/>
      <c r="J969" s="27"/>
    </row>
    <row r="970">
      <c r="A970" s="3"/>
      <c r="B970" s="27"/>
      <c r="C970" s="27"/>
      <c r="D970" s="27"/>
      <c r="E970" s="27"/>
      <c r="F970" s="30"/>
      <c r="G970" s="27"/>
      <c r="H970" s="27"/>
      <c r="I970" s="27"/>
      <c r="J970" s="27"/>
    </row>
    <row r="971">
      <c r="A971" s="3"/>
      <c r="B971" s="27"/>
      <c r="C971" s="27"/>
      <c r="D971" s="27"/>
      <c r="E971" s="27"/>
      <c r="F971" s="30"/>
      <c r="G971" s="27"/>
      <c r="H971" s="27"/>
      <c r="I971" s="27"/>
      <c r="J971" s="27"/>
    </row>
    <row r="972">
      <c r="A972" s="3"/>
      <c r="B972" s="27"/>
      <c r="C972" s="27"/>
      <c r="D972" s="27"/>
      <c r="E972" s="27"/>
      <c r="F972" s="30"/>
      <c r="G972" s="27"/>
      <c r="H972" s="27"/>
      <c r="I972" s="27"/>
      <c r="J972" s="27"/>
    </row>
    <row r="973">
      <c r="A973" s="3"/>
      <c r="B973" s="27"/>
      <c r="C973" s="27"/>
      <c r="D973" s="27"/>
      <c r="E973" s="27"/>
      <c r="F973" s="30"/>
      <c r="G973" s="27"/>
      <c r="H973" s="27"/>
      <c r="I973" s="27"/>
      <c r="J973" s="27"/>
    </row>
    <row r="974">
      <c r="A974" s="3"/>
      <c r="B974" s="27"/>
      <c r="C974" s="27"/>
      <c r="D974" s="27"/>
      <c r="E974" s="27"/>
      <c r="F974" s="30"/>
      <c r="G974" s="27"/>
      <c r="H974" s="27"/>
      <c r="I974" s="27"/>
      <c r="J974" s="27"/>
    </row>
    <row r="975">
      <c r="A975" s="3"/>
      <c r="B975" s="27"/>
      <c r="C975" s="27"/>
      <c r="D975" s="27"/>
      <c r="E975" s="27"/>
      <c r="F975" s="30"/>
      <c r="G975" s="27"/>
      <c r="H975" s="27"/>
      <c r="I975" s="27"/>
      <c r="J975" s="27"/>
    </row>
    <row r="976">
      <c r="A976" s="3"/>
      <c r="B976" s="27"/>
      <c r="C976" s="27"/>
      <c r="D976" s="27"/>
      <c r="E976" s="27"/>
      <c r="F976" s="30"/>
      <c r="G976" s="27"/>
      <c r="H976" s="27"/>
      <c r="I976" s="27"/>
      <c r="J976" s="27"/>
    </row>
    <row r="977">
      <c r="A977" s="3"/>
      <c r="B977" s="27"/>
      <c r="C977" s="27"/>
      <c r="D977" s="27"/>
      <c r="E977" s="27"/>
      <c r="F977" s="30"/>
      <c r="G977" s="27"/>
      <c r="H977" s="27"/>
      <c r="I977" s="27"/>
      <c r="J977" s="27"/>
    </row>
    <row r="978">
      <c r="A978" s="3"/>
      <c r="B978" s="27"/>
      <c r="C978" s="27"/>
      <c r="D978" s="27"/>
      <c r="E978" s="27"/>
      <c r="F978" s="30"/>
      <c r="G978" s="27"/>
      <c r="H978" s="27"/>
      <c r="I978" s="27"/>
      <c r="J978" s="27"/>
    </row>
    <row r="979">
      <c r="A979" s="3"/>
      <c r="B979" s="27"/>
      <c r="C979" s="27"/>
      <c r="D979" s="27"/>
      <c r="E979" s="27"/>
      <c r="F979" s="30"/>
      <c r="G979" s="27"/>
      <c r="H979" s="27"/>
      <c r="I979" s="27"/>
      <c r="J979" s="27"/>
    </row>
    <row r="980">
      <c r="A980" s="3"/>
      <c r="B980" s="27"/>
      <c r="C980" s="27"/>
      <c r="D980" s="27"/>
      <c r="E980" s="27"/>
      <c r="F980" s="30"/>
      <c r="G980" s="27"/>
      <c r="H980" s="27"/>
      <c r="I980" s="27"/>
      <c r="J980" s="27"/>
    </row>
    <row r="981">
      <c r="A981" s="3"/>
      <c r="B981" s="27"/>
      <c r="C981" s="27"/>
      <c r="D981" s="27"/>
      <c r="E981" s="27"/>
      <c r="F981" s="30"/>
      <c r="G981" s="27"/>
      <c r="H981" s="27"/>
      <c r="I981" s="27"/>
      <c r="J981" s="27"/>
    </row>
    <row r="982">
      <c r="A982" s="3"/>
      <c r="B982" s="27"/>
      <c r="C982" s="27"/>
      <c r="D982" s="27"/>
      <c r="E982" s="27"/>
      <c r="F982" s="30"/>
      <c r="G982" s="27"/>
      <c r="H982" s="27"/>
      <c r="I982" s="27"/>
      <c r="J982" s="27"/>
    </row>
    <row r="983">
      <c r="A983" s="3"/>
      <c r="B983" s="27"/>
      <c r="C983" s="27"/>
      <c r="D983" s="27"/>
      <c r="E983" s="27"/>
      <c r="F983" s="30"/>
      <c r="G983" s="27"/>
      <c r="H983" s="27"/>
      <c r="I983" s="27"/>
      <c r="J983" s="27"/>
    </row>
    <row r="984">
      <c r="A984" s="3"/>
      <c r="B984" s="27"/>
      <c r="C984" s="27"/>
      <c r="D984" s="27"/>
      <c r="E984" s="27"/>
      <c r="F984" s="30"/>
      <c r="G984" s="27"/>
      <c r="H984" s="27"/>
      <c r="I984" s="27"/>
      <c r="J984" s="27"/>
    </row>
    <row r="985">
      <c r="A985" s="3"/>
      <c r="B985" s="27"/>
      <c r="C985" s="27"/>
      <c r="D985" s="27"/>
      <c r="E985" s="27"/>
      <c r="F985" s="30"/>
      <c r="G985" s="27"/>
      <c r="H985" s="27"/>
      <c r="I985" s="27"/>
      <c r="J985" s="27"/>
    </row>
    <row r="986">
      <c r="A986" s="3"/>
      <c r="B986" s="27"/>
      <c r="C986" s="27"/>
      <c r="D986" s="27"/>
      <c r="E986" s="27"/>
      <c r="F986" s="30"/>
      <c r="G986" s="27"/>
      <c r="H986" s="27"/>
      <c r="I986" s="27"/>
      <c r="J986" s="27"/>
    </row>
    <row r="987">
      <c r="A987" s="3"/>
      <c r="B987" s="27"/>
      <c r="C987" s="27"/>
      <c r="D987" s="27"/>
      <c r="E987" s="27"/>
      <c r="F987" s="30"/>
      <c r="G987" s="27"/>
      <c r="H987" s="27"/>
      <c r="I987" s="27"/>
      <c r="J987" s="27"/>
    </row>
    <row r="988">
      <c r="A988" s="3"/>
      <c r="B988" s="27"/>
      <c r="C988" s="27"/>
      <c r="D988" s="27"/>
      <c r="E988" s="27"/>
      <c r="F988" s="30"/>
      <c r="G988" s="27"/>
      <c r="H988" s="27"/>
      <c r="I988" s="27"/>
      <c r="J988" s="27"/>
    </row>
    <row r="989">
      <c r="A989" s="3"/>
      <c r="B989" s="27"/>
      <c r="C989" s="27"/>
      <c r="D989" s="27"/>
      <c r="E989" s="27"/>
      <c r="F989" s="30"/>
      <c r="G989" s="27"/>
      <c r="H989" s="27"/>
      <c r="I989" s="27"/>
      <c r="J989" s="27"/>
    </row>
    <row r="990">
      <c r="A990" s="3"/>
      <c r="B990" s="27"/>
      <c r="C990" s="27"/>
      <c r="D990" s="27"/>
      <c r="E990" s="27"/>
      <c r="F990" s="30"/>
      <c r="G990" s="27"/>
      <c r="H990" s="27"/>
      <c r="I990" s="27"/>
      <c r="J990" s="27"/>
    </row>
    <row r="991">
      <c r="A991" s="3"/>
      <c r="B991" s="27"/>
      <c r="C991" s="27"/>
      <c r="D991" s="27"/>
      <c r="E991" s="27"/>
      <c r="F991" s="30"/>
      <c r="G991" s="27"/>
      <c r="H991" s="27"/>
      <c r="I991" s="27"/>
      <c r="J991" s="27"/>
    </row>
    <row r="992">
      <c r="A992" s="3"/>
      <c r="B992" s="27"/>
      <c r="C992" s="27"/>
      <c r="D992" s="27"/>
      <c r="E992" s="27"/>
      <c r="F992" s="30"/>
      <c r="G992" s="27"/>
      <c r="H992" s="27"/>
      <c r="I992" s="27"/>
      <c r="J992" s="27"/>
    </row>
    <row r="993">
      <c r="A993" s="3"/>
      <c r="B993" s="27"/>
      <c r="C993" s="27"/>
      <c r="D993" s="27"/>
      <c r="E993" s="27"/>
      <c r="F993" s="30"/>
      <c r="G993" s="27"/>
      <c r="H993" s="27"/>
      <c r="I993" s="27"/>
      <c r="J993" s="27"/>
    </row>
    <row r="994">
      <c r="A994" s="3"/>
      <c r="B994" s="27"/>
      <c r="C994" s="27"/>
      <c r="D994" s="27"/>
      <c r="E994" s="27"/>
      <c r="F994" s="30"/>
      <c r="G994" s="27"/>
      <c r="H994" s="27"/>
      <c r="I994" s="27"/>
      <c r="J994" s="27"/>
    </row>
    <row r="995">
      <c r="A995" s="3"/>
      <c r="B995" s="27"/>
      <c r="C995" s="27"/>
      <c r="D995" s="27"/>
      <c r="E995" s="27"/>
      <c r="F995" s="30"/>
      <c r="G995" s="27"/>
      <c r="H995" s="27"/>
      <c r="I995" s="27"/>
      <c r="J995" s="27"/>
    </row>
    <row r="996">
      <c r="A996" s="3"/>
      <c r="B996" s="27"/>
      <c r="C996" s="27"/>
      <c r="D996" s="27"/>
      <c r="E996" s="27"/>
      <c r="F996" s="30"/>
      <c r="G996" s="27"/>
      <c r="H996" s="27"/>
      <c r="I996" s="27"/>
      <c r="J996" s="27"/>
    </row>
    <row r="997">
      <c r="A997" s="3"/>
      <c r="B997" s="27"/>
      <c r="C997" s="27"/>
      <c r="D997" s="27"/>
      <c r="E997" s="27"/>
      <c r="F997" s="30"/>
      <c r="G997" s="27"/>
      <c r="H997" s="27"/>
      <c r="I997" s="27"/>
      <c r="J997" s="27"/>
    </row>
    <row r="998">
      <c r="A998" s="3"/>
      <c r="B998" s="27"/>
      <c r="C998" s="27"/>
      <c r="D998" s="27"/>
      <c r="E998" s="27"/>
      <c r="F998" s="30"/>
      <c r="G998" s="27"/>
      <c r="H998" s="27"/>
      <c r="I998" s="27"/>
      <c r="J998" s="27"/>
    </row>
    <row r="999">
      <c r="A999" s="3"/>
      <c r="B999" s="27"/>
      <c r="C999" s="27"/>
      <c r="D999" s="27"/>
      <c r="E999" s="27"/>
      <c r="F999" s="30"/>
      <c r="G999" s="27"/>
      <c r="H999" s="27"/>
      <c r="I999" s="27"/>
      <c r="J999" s="27"/>
    </row>
    <row r="1000">
      <c r="A1000" s="10"/>
      <c r="B1000" s="26"/>
      <c r="C1000" s="26"/>
      <c r="D1000" s="26"/>
      <c r="E1000" s="26"/>
      <c r="F1000" s="31"/>
      <c r="G1000" s="26"/>
      <c r="H1000" s="26"/>
      <c r="I1000" s="26"/>
      <c r="J1000" s="26"/>
    </row>
  </sheetData>
  <conditionalFormatting sqref="D2:E1000">
    <cfRule type="expression" dxfId="4" priority="1">
      <formula>OR($E2="True", $E2=TRUE)</formula>
    </cfRule>
  </conditionalFormatting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</cols>
  <sheetData>
    <row r="1">
      <c r="B1" s="32"/>
      <c r="C1" s="32"/>
      <c r="D1" s="32"/>
      <c r="E1" s="32"/>
      <c r="F1" s="32"/>
      <c r="G1" s="32"/>
      <c r="H1" s="32"/>
    </row>
    <row r="2">
      <c r="B2" s="33" t="s">
        <v>1549</v>
      </c>
      <c r="C2" s="34" t="s">
        <v>1550</v>
      </c>
      <c r="D2" s="35"/>
      <c r="E2" s="35"/>
      <c r="F2" s="35"/>
      <c r="G2" s="35"/>
      <c r="H2" s="36"/>
    </row>
    <row r="3">
      <c r="B3" s="37" t="s">
        <v>1551</v>
      </c>
      <c r="C3" s="38" t="s">
        <v>1552</v>
      </c>
      <c r="D3" s="39"/>
      <c r="E3" s="39"/>
      <c r="F3" s="39"/>
      <c r="G3" s="39"/>
      <c r="H3" s="40"/>
    </row>
    <row r="4">
      <c r="B4" s="41" t="s">
        <v>1553</v>
      </c>
      <c r="C4" s="42" t="s">
        <v>1554</v>
      </c>
      <c r="H4" s="43"/>
    </row>
    <row r="5">
      <c r="B5" s="44"/>
      <c r="H5" s="43"/>
    </row>
    <row r="6">
      <c r="B6" s="44"/>
      <c r="H6" s="43"/>
      <c r="I6" s="45"/>
    </row>
    <row r="7">
      <c r="B7" s="44"/>
      <c r="H7" s="43"/>
      <c r="I7" s="45"/>
    </row>
    <row r="8">
      <c r="B8" s="46"/>
      <c r="C8" s="39"/>
      <c r="D8" s="39"/>
      <c r="E8" s="39"/>
      <c r="F8" s="39"/>
      <c r="G8" s="39"/>
      <c r="H8" s="40"/>
      <c r="I8" s="45"/>
    </row>
    <row r="9">
      <c r="B9" s="47" t="s">
        <v>1555</v>
      </c>
      <c r="C9" s="48" t="s">
        <v>1556</v>
      </c>
      <c r="D9" s="49"/>
      <c r="E9" s="49"/>
      <c r="F9" s="49"/>
      <c r="G9" s="49"/>
      <c r="H9" s="50"/>
      <c r="I9" s="45"/>
    </row>
    <row r="10">
      <c r="B10" s="46"/>
      <c r="C10" s="51" t="s">
        <v>1557</v>
      </c>
      <c r="D10" s="52"/>
      <c r="E10" s="52"/>
      <c r="F10" s="52"/>
      <c r="G10" s="52"/>
      <c r="H10" s="53"/>
      <c r="I10" s="45"/>
    </row>
    <row r="11">
      <c r="B11" s="47" t="s">
        <v>1558</v>
      </c>
      <c r="C11" s="54" t="s">
        <v>1559</v>
      </c>
      <c r="D11" s="48"/>
      <c r="E11" s="55" t="s">
        <v>1560</v>
      </c>
      <c r="F11" s="49"/>
      <c r="G11" s="49"/>
      <c r="H11" s="50"/>
      <c r="I11" s="45"/>
    </row>
    <row r="12">
      <c r="B12" s="44"/>
      <c r="C12" s="56" t="s">
        <v>1561</v>
      </c>
      <c r="D12" s="57"/>
      <c r="E12" s="58" t="s">
        <v>1562</v>
      </c>
      <c r="F12" s="59"/>
      <c r="G12" s="59"/>
      <c r="H12" s="60"/>
      <c r="I12" s="45"/>
    </row>
    <row r="13">
      <c r="B13" s="44"/>
      <c r="C13" s="61" t="s">
        <v>1563</v>
      </c>
      <c r="D13" s="62"/>
      <c r="E13" s="63" t="s">
        <v>1564</v>
      </c>
      <c r="F13" s="59"/>
      <c r="G13" s="59"/>
      <c r="H13" s="60"/>
      <c r="I13" s="45"/>
    </row>
    <row r="14">
      <c r="B14" s="44"/>
      <c r="C14" s="64"/>
      <c r="D14" s="62"/>
      <c r="E14" s="63" t="s">
        <v>1565</v>
      </c>
      <c r="F14" s="59"/>
      <c r="G14" s="59"/>
      <c r="H14" s="60"/>
      <c r="I14" s="45"/>
    </row>
    <row r="15">
      <c r="B15" s="46"/>
      <c r="C15" s="65" t="s">
        <v>1566</v>
      </c>
      <c r="D15" s="51"/>
      <c r="E15" s="66" t="s">
        <v>1567</v>
      </c>
      <c r="F15" s="52"/>
      <c r="G15" s="52"/>
      <c r="H15" s="53"/>
      <c r="I15" s="45"/>
    </row>
    <row r="16">
      <c r="B16" s="67" t="s">
        <v>1568</v>
      </c>
      <c r="C16" s="68" t="s">
        <v>8</v>
      </c>
      <c r="D16" s="69" t="s">
        <v>9</v>
      </c>
      <c r="E16" s="70" t="s">
        <v>1569</v>
      </c>
      <c r="F16" s="49"/>
      <c r="G16" s="49"/>
      <c r="H16" s="50"/>
      <c r="I16" s="45"/>
    </row>
    <row r="17">
      <c r="B17" s="44"/>
      <c r="C17" s="71" t="s">
        <v>50</v>
      </c>
      <c r="D17" s="69" t="s">
        <v>51</v>
      </c>
      <c r="E17" s="58" t="s">
        <v>1570</v>
      </c>
      <c r="F17" s="59"/>
      <c r="G17" s="59"/>
      <c r="H17" s="60"/>
      <c r="I17" s="45"/>
    </row>
    <row r="18">
      <c r="B18" s="44"/>
      <c r="C18" s="72" t="s">
        <v>302</v>
      </c>
      <c r="D18" s="69" t="s">
        <v>303</v>
      </c>
      <c r="E18" s="58" t="s">
        <v>1571</v>
      </c>
      <c r="F18" s="59"/>
      <c r="G18" s="59"/>
      <c r="H18" s="60"/>
      <c r="I18" s="45"/>
    </row>
    <row r="19">
      <c r="B19" s="44"/>
      <c r="C19" s="72" t="s">
        <v>308</v>
      </c>
      <c r="D19" s="69" t="s">
        <v>309</v>
      </c>
      <c r="E19" s="58" t="s">
        <v>1572</v>
      </c>
      <c r="F19" s="59"/>
      <c r="G19" s="59"/>
      <c r="H19" s="60"/>
      <c r="I19" s="45"/>
    </row>
    <row r="20">
      <c r="B20" s="44"/>
      <c r="C20" s="72"/>
      <c r="E20" s="58"/>
      <c r="F20" s="59"/>
      <c r="G20" s="59"/>
      <c r="H20" s="60"/>
      <c r="I20" s="45"/>
    </row>
    <row r="21">
      <c r="B21" s="44"/>
      <c r="C21" s="72" t="s">
        <v>1573</v>
      </c>
      <c r="D21" s="69" t="s">
        <v>313</v>
      </c>
      <c r="E21" s="58" t="s">
        <v>1574</v>
      </c>
      <c r="F21" s="59"/>
      <c r="G21" s="59"/>
      <c r="H21" s="60"/>
    </row>
    <row r="22">
      <c r="B22" s="46"/>
      <c r="C22" s="73" t="s">
        <v>295</v>
      </c>
      <c r="D22" s="69" t="s">
        <v>296</v>
      </c>
      <c r="E22" s="74"/>
      <c r="F22" s="52"/>
      <c r="G22" s="52"/>
      <c r="H22" s="53"/>
    </row>
    <row r="23">
      <c r="C23" s="75" t="s">
        <v>1575</v>
      </c>
      <c r="G23" s="45"/>
    </row>
    <row r="24">
      <c r="G24" s="45"/>
    </row>
    <row r="25">
      <c r="G25" s="45"/>
      <c r="H25" s="45"/>
      <c r="I25" s="45"/>
    </row>
    <row r="26">
      <c r="G26" s="45"/>
      <c r="H26" s="45"/>
      <c r="I26" s="45"/>
    </row>
    <row r="27">
      <c r="G27" s="45"/>
      <c r="H27" s="45"/>
      <c r="I27" s="45"/>
    </row>
    <row r="28">
      <c r="B28" s="45"/>
      <c r="C28" s="45"/>
      <c r="D28" s="45"/>
      <c r="E28" s="45"/>
      <c r="F28" s="45"/>
      <c r="G28" s="45"/>
      <c r="H28" s="45"/>
      <c r="I28" s="45"/>
    </row>
    <row r="29">
      <c r="B29" s="45"/>
      <c r="C29" s="45"/>
      <c r="D29" s="45"/>
      <c r="E29" s="45"/>
      <c r="F29" s="45"/>
      <c r="G29" s="45"/>
      <c r="H29" s="45"/>
      <c r="I29" s="45"/>
    </row>
    <row r="30">
      <c r="B30" s="45"/>
      <c r="C30" s="45"/>
      <c r="D30" s="45"/>
      <c r="E30" s="45"/>
      <c r="F30" s="45"/>
      <c r="G30" s="45"/>
      <c r="H30" s="45"/>
      <c r="I30" s="45"/>
    </row>
    <row r="31">
      <c r="B31" s="45"/>
      <c r="C31" s="45"/>
      <c r="D31" s="45"/>
      <c r="E31" s="45"/>
      <c r="F31" s="45"/>
      <c r="G31" s="45"/>
      <c r="H31" s="45"/>
      <c r="I31" s="45"/>
    </row>
    <row r="32">
      <c r="B32" s="76"/>
      <c r="C32" s="77"/>
      <c r="D32" s="45"/>
      <c r="E32" s="45"/>
      <c r="F32" s="45"/>
      <c r="G32" s="45"/>
      <c r="H32" s="45"/>
      <c r="I32" s="45"/>
    </row>
  </sheetData>
  <mergeCells count="22">
    <mergeCell ref="C10:H10"/>
    <mergeCell ref="E11:H11"/>
    <mergeCell ref="B11:B15"/>
    <mergeCell ref="C13:C14"/>
    <mergeCell ref="B16:B22"/>
    <mergeCell ref="C2:H2"/>
    <mergeCell ref="C3:H3"/>
    <mergeCell ref="B4:B8"/>
    <mergeCell ref="C4:H8"/>
    <mergeCell ref="B9:B10"/>
    <mergeCell ref="C9:H9"/>
    <mergeCell ref="E12:H12"/>
    <mergeCell ref="E20:H20"/>
    <mergeCell ref="E21:H21"/>
    <mergeCell ref="E22:H22"/>
    <mergeCell ref="E13:H13"/>
    <mergeCell ref="E14:H14"/>
    <mergeCell ref="E15:H15"/>
    <mergeCell ref="E16:H16"/>
    <mergeCell ref="E17:H17"/>
    <mergeCell ref="E18:H18"/>
    <mergeCell ref="E19:H19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6.25"/>
    <col customWidth="1" min="3" max="3" width="121.63"/>
    <col customWidth="1" min="4" max="4" width="28.0"/>
  </cols>
  <sheetData>
    <row r="1" ht="18.0" customHeight="1">
      <c r="A1" s="78" t="s">
        <v>1576</v>
      </c>
      <c r="B1" s="78" t="s">
        <v>1577</v>
      </c>
      <c r="C1" s="79" t="s">
        <v>1578</v>
      </c>
      <c r="D1" s="78" t="s">
        <v>1579</v>
      </c>
    </row>
    <row r="2">
      <c r="A2" s="80">
        <v>1.0</v>
      </c>
      <c r="B2" s="80" t="s">
        <v>1580</v>
      </c>
      <c r="C2" s="81" t="s">
        <v>1581</v>
      </c>
      <c r="D2" s="81" t="s">
        <v>11</v>
      </c>
    </row>
    <row r="3">
      <c r="A3" s="80">
        <v>2.0</v>
      </c>
      <c r="B3" s="80" t="s">
        <v>1582</v>
      </c>
      <c r="C3" s="82" t="s">
        <v>1583</v>
      </c>
      <c r="D3" s="83" t="s">
        <v>12</v>
      </c>
    </row>
    <row r="4">
      <c r="A4" s="80">
        <v>3.0</v>
      </c>
      <c r="B4" s="80" t="s">
        <v>1580</v>
      </c>
      <c r="C4" s="81" t="s">
        <v>18</v>
      </c>
      <c r="D4" s="81" t="s">
        <v>16</v>
      </c>
    </row>
    <row r="5">
      <c r="A5" s="80">
        <v>4.0</v>
      </c>
      <c r="B5" s="80" t="s">
        <v>1582</v>
      </c>
      <c r="C5" s="82" t="s">
        <v>1584</v>
      </c>
      <c r="D5" s="83" t="s">
        <v>17</v>
      </c>
    </row>
    <row r="6">
      <c r="A6" s="80">
        <v>5.0</v>
      </c>
      <c r="B6" s="80" t="s">
        <v>1580</v>
      </c>
      <c r="C6" s="81" t="s">
        <v>1585</v>
      </c>
      <c r="D6" s="81" t="s">
        <v>1586</v>
      </c>
    </row>
    <row r="7">
      <c r="A7" s="80">
        <v>6.0</v>
      </c>
      <c r="B7" s="80" t="s">
        <v>1582</v>
      </c>
      <c r="C7" s="84" t="s">
        <v>24</v>
      </c>
      <c r="D7" s="84" t="s">
        <v>22</v>
      </c>
    </row>
    <row r="8">
      <c r="A8" s="80">
        <v>7.0</v>
      </c>
      <c r="B8" s="80" t="s">
        <v>1580</v>
      </c>
      <c r="C8" s="81" t="s">
        <v>28</v>
      </c>
      <c r="D8" s="81" t="s">
        <v>26</v>
      </c>
    </row>
    <row r="9">
      <c r="A9" s="80">
        <v>8.0</v>
      </c>
      <c r="B9" s="80" t="s">
        <v>1582</v>
      </c>
      <c r="C9" s="84" t="s">
        <v>1587</v>
      </c>
      <c r="D9" s="84" t="s">
        <v>27</v>
      </c>
    </row>
    <row r="10">
      <c r="A10" s="80">
        <v>9.0</v>
      </c>
      <c r="B10" s="80" t="s">
        <v>1580</v>
      </c>
      <c r="C10" s="81" t="s">
        <v>33</v>
      </c>
      <c r="D10" s="81" t="s">
        <v>1588</v>
      </c>
    </row>
    <row r="11">
      <c r="A11" s="80">
        <v>10.0</v>
      </c>
      <c r="B11" s="80" t="s">
        <v>1582</v>
      </c>
      <c r="C11" s="84" t="s">
        <v>34</v>
      </c>
      <c r="D11" s="85" t="s">
        <v>32</v>
      </c>
    </row>
    <row r="12">
      <c r="A12" s="80">
        <v>11.0</v>
      </c>
      <c r="B12" s="80" t="s">
        <v>1580</v>
      </c>
      <c r="C12" s="81" t="s">
        <v>38</v>
      </c>
      <c r="D12" s="81" t="s">
        <v>1589</v>
      </c>
    </row>
    <row r="13">
      <c r="A13" s="80">
        <v>12.0</v>
      </c>
      <c r="B13" s="80" t="s">
        <v>1582</v>
      </c>
      <c r="C13" s="84" t="s">
        <v>39</v>
      </c>
      <c r="D13" s="84" t="s">
        <v>37</v>
      </c>
    </row>
    <row r="14">
      <c r="A14" s="80">
        <v>13.0</v>
      </c>
      <c r="B14" s="80" t="s">
        <v>1580</v>
      </c>
      <c r="C14" s="81" t="s">
        <v>43</v>
      </c>
      <c r="D14" s="81" t="s">
        <v>1590</v>
      </c>
    </row>
    <row r="15">
      <c r="A15" s="80">
        <v>14.0</v>
      </c>
      <c r="B15" s="80" t="s">
        <v>1582</v>
      </c>
      <c r="C15" s="84" t="s">
        <v>44</v>
      </c>
      <c r="D15" s="84" t="s">
        <v>42</v>
      </c>
    </row>
    <row r="16">
      <c r="A16" s="80">
        <v>15.0</v>
      </c>
      <c r="B16" s="80" t="s">
        <v>1580</v>
      </c>
      <c r="C16" s="81" t="s">
        <v>48</v>
      </c>
      <c r="D16" s="81" t="s">
        <v>46</v>
      </c>
    </row>
    <row r="17">
      <c r="A17" s="80">
        <v>16.0</v>
      </c>
      <c r="B17" s="80" t="s">
        <v>1582</v>
      </c>
      <c r="C17" s="84" t="s">
        <v>49</v>
      </c>
      <c r="D17" s="84" t="s">
        <v>47</v>
      </c>
    </row>
    <row r="18">
      <c r="A18" s="80">
        <v>17.0</v>
      </c>
      <c r="B18" s="80" t="s">
        <v>1580</v>
      </c>
      <c r="C18" s="81" t="s">
        <v>55</v>
      </c>
      <c r="D18" s="81" t="s">
        <v>1591</v>
      </c>
    </row>
    <row r="19">
      <c r="A19" s="80">
        <v>18.0</v>
      </c>
      <c r="B19" s="80" t="s">
        <v>1582</v>
      </c>
      <c r="C19" s="84" t="s">
        <v>56</v>
      </c>
      <c r="D19" s="84" t="s">
        <v>54</v>
      </c>
    </row>
    <row r="20">
      <c r="A20" s="80">
        <v>19.0</v>
      </c>
      <c r="B20" s="80" t="s">
        <v>1580</v>
      </c>
      <c r="C20" s="81" t="s">
        <v>60</v>
      </c>
      <c r="D20" s="81" t="s">
        <v>58</v>
      </c>
    </row>
    <row r="21">
      <c r="A21" s="80">
        <v>20.0</v>
      </c>
      <c r="B21" s="80" t="s">
        <v>1582</v>
      </c>
      <c r="C21" s="84" t="s">
        <v>61</v>
      </c>
      <c r="D21" s="84" t="s">
        <v>59</v>
      </c>
    </row>
    <row r="22">
      <c r="A22" s="80">
        <v>21.0</v>
      </c>
      <c r="B22" s="80" t="s">
        <v>1580</v>
      </c>
      <c r="C22" s="81" t="s">
        <v>65</v>
      </c>
      <c r="D22" s="81" t="s">
        <v>1592</v>
      </c>
    </row>
    <row r="23">
      <c r="A23" s="80">
        <v>22.0</v>
      </c>
      <c r="B23" s="80" t="s">
        <v>1582</v>
      </c>
      <c r="C23" s="84" t="s">
        <v>66</v>
      </c>
      <c r="D23" s="84" t="s">
        <v>64</v>
      </c>
    </row>
    <row r="24">
      <c r="A24" s="80">
        <v>23.0</v>
      </c>
      <c r="B24" s="80" t="s">
        <v>1580</v>
      </c>
      <c r="C24" s="86" t="s">
        <v>70</v>
      </c>
      <c r="D24" s="81" t="s">
        <v>68</v>
      </c>
    </row>
    <row r="25">
      <c r="A25" s="80">
        <v>24.0</v>
      </c>
      <c r="B25" s="80" t="s">
        <v>1582</v>
      </c>
      <c r="C25" s="84" t="s">
        <v>71</v>
      </c>
      <c r="D25" s="84" t="s">
        <v>69</v>
      </c>
    </row>
    <row r="26">
      <c r="A26" s="80">
        <v>25.0</v>
      </c>
      <c r="B26" s="80" t="s">
        <v>1580</v>
      </c>
      <c r="C26" s="81" t="s">
        <v>75</v>
      </c>
      <c r="D26" s="81" t="s">
        <v>1593</v>
      </c>
    </row>
    <row r="27">
      <c r="A27" s="80">
        <v>26.0</v>
      </c>
      <c r="B27" s="80" t="s">
        <v>1582</v>
      </c>
      <c r="C27" s="84" t="s">
        <v>76</v>
      </c>
      <c r="D27" s="85" t="s">
        <v>74</v>
      </c>
    </row>
    <row r="28">
      <c r="A28" s="80">
        <v>27.0</v>
      </c>
      <c r="B28" s="80" t="s">
        <v>1580</v>
      </c>
      <c r="C28" s="81" t="s">
        <v>80</v>
      </c>
      <c r="D28" s="84" t="s">
        <v>78</v>
      </c>
    </row>
    <row r="29">
      <c r="A29" s="80">
        <v>28.0</v>
      </c>
      <c r="B29" s="80" t="s">
        <v>1582</v>
      </c>
      <c r="C29" s="84" t="s">
        <v>81</v>
      </c>
      <c r="D29" s="84" t="s">
        <v>79</v>
      </c>
    </row>
    <row r="30">
      <c r="A30" s="80">
        <v>29.0</v>
      </c>
      <c r="B30" s="80" t="s">
        <v>1580</v>
      </c>
      <c r="C30" s="81" t="s">
        <v>1594</v>
      </c>
      <c r="D30" s="81" t="s">
        <v>1595</v>
      </c>
    </row>
    <row r="31">
      <c r="A31" s="80">
        <v>30.0</v>
      </c>
      <c r="B31" s="80" t="s">
        <v>1582</v>
      </c>
      <c r="C31" s="85" t="s">
        <v>1596</v>
      </c>
      <c r="D31" s="85" t="s">
        <v>344</v>
      </c>
    </row>
    <row r="32">
      <c r="A32" s="80">
        <v>31.0</v>
      </c>
      <c r="B32" s="80" t="s">
        <v>1580</v>
      </c>
      <c r="C32" s="87" t="s">
        <v>90</v>
      </c>
      <c r="D32" s="87" t="s">
        <v>88</v>
      </c>
    </row>
    <row r="33">
      <c r="A33" s="80">
        <v>32.0</v>
      </c>
      <c r="B33" s="80" t="s">
        <v>1582</v>
      </c>
      <c r="C33" s="85" t="s">
        <v>91</v>
      </c>
      <c r="D33" s="85" t="s">
        <v>89</v>
      </c>
    </row>
    <row r="34">
      <c r="A34" s="80">
        <v>33.0</v>
      </c>
      <c r="B34" s="80" t="s">
        <v>1580</v>
      </c>
      <c r="C34" s="87" t="s">
        <v>1597</v>
      </c>
      <c r="D34" s="87" t="s">
        <v>1592</v>
      </c>
    </row>
    <row r="35">
      <c r="A35" s="80">
        <v>34.0</v>
      </c>
      <c r="B35" s="80" t="s">
        <v>1582</v>
      </c>
      <c r="C35" s="85" t="s">
        <v>93</v>
      </c>
      <c r="D35" s="85" t="s">
        <v>64</v>
      </c>
    </row>
    <row r="36">
      <c r="A36" s="80">
        <v>35.0</v>
      </c>
      <c r="B36" s="80" t="s">
        <v>1580</v>
      </c>
      <c r="C36" s="87" t="s">
        <v>94</v>
      </c>
      <c r="D36" s="87" t="s">
        <v>26</v>
      </c>
    </row>
    <row r="37">
      <c r="A37" s="80">
        <v>36.0</v>
      </c>
      <c r="B37" s="80" t="s">
        <v>1582</v>
      </c>
      <c r="C37" s="85" t="s">
        <v>95</v>
      </c>
      <c r="D37" s="85" t="s">
        <v>27</v>
      </c>
    </row>
    <row r="38">
      <c r="A38" s="80">
        <v>37.0</v>
      </c>
      <c r="B38" s="80" t="s">
        <v>1580</v>
      </c>
      <c r="C38" s="87" t="s">
        <v>99</v>
      </c>
      <c r="D38" s="87" t="s">
        <v>97</v>
      </c>
    </row>
    <row r="39">
      <c r="A39" s="80">
        <v>38.0</v>
      </c>
      <c r="B39" s="80" t="s">
        <v>1582</v>
      </c>
      <c r="C39" s="85" t="s">
        <v>100</v>
      </c>
      <c r="D39" s="85" t="s">
        <v>98</v>
      </c>
    </row>
    <row r="40">
      <c r="A40" s="80">
        <v>39.0</v>
      </c>
      <c r="B40" s="80" t="s">
        <v>1580</v>
      </c>
      <c r="C40" s="87" t="s">
        <v>104</v>
      </c>
      <c r="D40" s="87" t="s">
        <v>1598</v>
      </c>
    </row>
    <row r="41">
      <c r="A41" s="80">
        <v>40.0</v>
      </c>
      <c r="B41" s="80" t="s">
        <v>1582</v>
      </c>
      <c r="C41" s="85" t="s">
        <v>105</v>
      </c>
      <c r="D41" s="85" t="s">
        <v>103</v>
      </c>
    </row>
    <row r="42">
      <c r="A42" s="80">
        <v>41.0</v>
      </c>
      <c r="B42" s="80" t="s">
        <v>1580</v>
      </c>
      <c r="C42" s="87" t="s">
        <v>106</v>
      </c>
      <c r="D42" s="87" t="s">
        <v>21</v>
      </c>
    </row>
    <row r="43">
      <c r="A43" s="80">
        <v>42.0</v>
      </c>
      <c r="B43" s="80" t="s">
        <v>1582</v>
      </c>
      <c r="C43" s="85" t="s">
        <v>107</v>
      </c>
      <c r="D43" s="85" t="s">
        <v>22</v>
      </c>
    </row>
    <row r="44">
      <c r="A44" s="80">
        <v>43.0</v>
      </c>
      <c r="B44" s="80" t="s">
        <v>1580</v>
      </c>
      <c r="C44" s="87" t="s">
        <v>111</v>
      </c>
      <c r="D44" s="87" t="s">
        <v>1599</v>
      </c>
    </row>
    <row r="45">
      <c r="A45" s="80">
        <v>44.0</v>
      </c>
      <c r="B45" s="80" t="s">
        <v>1582</v>
      </c>
      <c r="C45" s="85" t="s">
        <v>112</v>
      </c>
      <c r="D45" s="85" t="s">
        <v>110</v>
      </c>
    </row>
    <row r="46">
      <c r="A46" s="80">
        <v>45.0</v>
      </c>
      <c r="B46" s="80" t="s">
        <v>1580</v>
      </c>
      <c r="C46" s="87" t="s">
        <v>116</v>
      </c>
      <c r="D46" s="87" t="s">
        <v>114</v>
      </c>
    </row>
    <row r="47">
      <c r="A47" s="80">
        <v>46.0</v>
      </c>
      <c r="B47" s="80" t="s">
        <v>1582</v>
      </c>
      <c r="C47" s="85" t="s">
        <v>117</v>
      </c>
      <c r="D47" s="85" t="s">
        <v>115</v>
      </c>
    </row>
    <row r="48">
      <c r="A48" s="80">
        <v>47.0</v>
      </c>
      <c r="B48" s="80" t="s">
        <v>1580</v>
      </c>
      <c r="C48" s="87" t="s">
        <v>121</v>
      </c>
      <c r="D48" s="87" t="s">
        <v>1600</v>
      </c>
    </row>
    <row r="49">
      <c r="A49" s="80">
        <v>48.0</v>
      </c>
      <c r="B49" s="80" t="s">
        <v>1582</v>
      </c>
      <c r="C49" s="85" t="s">
        <v>122</v>
      </c>
      <c r="D49" s="85" t="s">
        <v>120</v>
      </c>
    </row>
    <row r="50">
      <c r="A50" s="80">
        <v>49.0</v>
      </c>
      <c r="B50" s="80" t="s">
        <v>1580</v>
      </c>
      <c r="C50" s="87" t="s">
        <v>126</v>
      </c>
      <c r="D50" s="87" t="s">
        <v>124</v>
      </c>
    </row>
    <row r="51">
      <c r="A51" s="80">
        <v>50.0</v>
      </c>
      <c r="B51" s="80" t="s">
        <v>1582</v>
      </c>
      <c r="C51" s="85" t="s">
        <v>127</v>
      </c>
      <c r="D51" s="85" t="s">
        <v>125</v>
      </c>
    </row>
    <row r="52">
      <c r="A52" s="80">
        <v>51.0</v>
      </c>
      <c r="B52" s="80" t="s">
        <v>1580</v>
      </c>
      <c r="C52" s="87" t="s">
        <v>131</v>
      </c>
      <c r="D52" s="87" t="s">
        <v>129</v>
      </c>
    </row>
    <row r="53">
      <c r="A53" s="80">
        <v>52.0</v>
      </c>
      <c r="B53" s="80" t="s">
        <v>1582</v>
      </c>
      <c r="C53" s="85" t="s">
        <v>132</v>
      </c>
      <c r="D53" s="85" t="s">
        <v>130</v>
      </c>
    </row>
    <row r="54">
      <c r="A54" s="80">
        <v>53.0</v>
      </c>
      <c r="B54" s="80" t="s">
        <v>1580</v>
      </c>
      <c r="C54" s="87" t="s">
        <v>134</v>
      </c>
      <c r="D54" s="85" t="s">
        <v>1601</v>
      </c>
    </row>
    <row r="55">
      <c r="A55" s="80">
        <v>54.0</v>
      </c>
      <c r="B55" s="80" t="s">
        <v>1582</v>
      </c>
      <c r="C55" s="85" t="s">
        <v>135</v>
      </c>
      <c r="D55" s="85" t="s">
        <v>133</v>
      </c>
    </row>
    <row r="56">
      <c r="A56" s="80">
        <v>55.0</v>
      </c>
      <c r="B56" s="80" t="s">
        <v>1580</v>
      </c>
      <c r="C56" s="87" t="s">
        <v>138</v>
      </c>
      <c r="D56" s="87" t="s">
        <v>136</v>
      </c>
    </row>
    <row r="57">
      <c r="A57" s="80">
        <v>56.0</v>
      </c>
      <c r="B57" s="80" t="s">
        <v>1582</v>
      </c>
      <c r="C57" s="85" t="s">
        <v>139</v>
      </c>
      <c r="D57" s="85" t="s">
        <v>137</v>
      </c>
    </row>
    <row r="58">
      <c r="A58" s="80">
        <v>57.0</v>
      </c>
      <c r="B58" s="80" t="s">
        <v>1580</v>
      </c>
      <c r="C58" s="87" t="s">
        <v>142</v>
      </c>
      <c r="D58" s="87" t="s">
        <v>141</v>
      </c>
    </row>
    <row r="59">
      <c r="A59" s="80">
        <v>58.0</v>
      </c>
      <c r="B59" s="80" t="s">
        <v>1582</v>
      </c>
      <c r="C59" s="85" t="s">
        <v>143</v>
      </c>
      <c r="D59" s="85" t="s">
        <v>140</v>
      </c>
    </row>
    <row r="60">
      <c r="A60" s="80">
        <v>59.0</v>
      </c>
      <c r="B60" s="80" t="s">
        <v>1580</v>
      </c>
      <c r="C60" s="87" t="s">
        <v>147</v>
      </c>
      <c r="D60" s="87" t="s">
        <v>145</v>
      </c>
    </row>
    <row r="61">
      <c r="A61" s="80">
        <v>60.0</v>
      </c>
      <c r="B61" s="80" t="s">
        <v>1582</v>
      </c>
      <c r="C61" s="83" t="s">
        <v>148</v>
      </c>
      <c r="D61" s="83" t="s">
        <v>146</v>
      </c>
    </row>
    <row r="62">
      <c r="A62" s="80">
        <v>61.0</v>
      </c>
      <c r="B62" s="80" t="s">
        <v>1580</v>
      </c>
      <c r="C62" s="83" t="s">
        <v>152</v>
      </c>
      <c r="D62" s="83" t="s">
        <v>150</v>
      </c>
    </row>
    <row r="63">
      <c r="A63" s="80">
        <v>62.0</v>
      </c>
      <c r="B63" s="80" t="s">
        <v>1582</v>
      </c>
      <c r="C63" s="83" t="s">
        <v>153</v>
      </c>
      <c r="D63" s="83" t="s">
        <v>151</v>
      </c>
    </row>
    <row r="64">
      <c r="A64" s="80">
        <v>63.0</v>
      </c>
      <c r="B64" s="80" t="s">
        <v>1580</v>
      </c>
      <c r="C64" s="83" t="s">
        <v>154</v>
      </c>
      <c r="D64" s="83" t="s">
        <v>1588</v>
      </c>
    </row>
    <row r="65">
      <c r="A65" s="80">
        <v>64.0</v>
      </c>
      <c r="B65" s="80" t="s">
        <v>1582</v>
      </c>
      <c r="C65" s="83" t="s">
        <v>155</v>
      </c>
      <c r="D65" s="83" t="s">
        <v>1602</v>
      </c>
    </row>
    <row r="66">
      <c r="A66" s="80">
        <v>65.0</v>
      </c>
      <c r="B66" s="80" t="s">
        <v>1580</v>
      </c>
      <c r="C66" s="83" t="s">
        <v>159</v>
      </c>
      <c r="D66" s="83" t="s">
        <v>157</v>
      </c>
    </row>
    <row r="67">
      <c r="A67" s="80">
        <v>66.0</v>
      </c>
      <c r="B67" s="80" t="s">
        <v>1582</v>
      </c>
      <c r="C67" s="83" t="s">
        <v>160</v>
      </c>
      <c r="D67" s="83" t="s">
        <v>158</v>
      </c>
    </row>
    <row r="68">
      <c r="A68" s="80">
        <v>67.0</v>
      </c>
      <c r="B68" s="80" t="s">
        <v>1580</v>
      </c>
      <c r="C68" s="83" t="s">
        <v>164</v>
      </c>
      <c r="D68" s="83" t="s">
        <v>162</v>
      </c>
    </row>
    <row r="69">
      <c r="A69" s="80">
        <v>68.0</v>
      </c>
      <c r="B69" s="80" t="s">
        <v>1582</v>
      </c>
      <c r="C69" s="83" t="s">
        <v>1603</v>
      </c>
      <c r="D69" s="83" t="s">
        <v>163</v>
      </c>
    </row>
    <row r="70">
      <c r="A70" s="80">
        <v>69.0</v>
      </c>
      <c r="B70" s="80" t="s">
        <v>1580</v>
      </c>
      <c r="C70" s="83" t="s">
        <v>169</v>
      </c>
      <c r="D70" s="83" t="s">
        <v>167</v>
      </c>
    </row>
    <row r="71">
      <c r="A71" s="80">
        <v>70.0</v>
      </c>
      <c r="B71" s="80" t="s">
        <v>1582</v>
      </c>
      <c r="C71" s="83" t="s">
        <v>170</v>
      </c>
      <c r="D71" s="83" t="s">
        <v>168</v>
      </c>
    </row>
    <row r="72">
      <c r="A72" s="80">
        <v>71.0</v>
      </c>
      <c r="B72" s="80" t="s">
        <v>1580</v>
      </c>
      <c r="C72" s="83" t="s">
        <v>174</v>
      </c>
      <c r="D72" s="83" t="s">
        <v>172</v>
      </c>
    </row>
    <row r="73">
      <c r="A73" s="80">
        <v>72.0</v>
      </c>
      <c r="B73" s="80" t="s">
        <v>1582</v>
      </c>
      <c r="C73" s="83" t="s">
        <v>175</v>
      </c>
      <c r="D73" s="83" t="s">
        <v>173</v>
      </c>
    </row>
    <row r="74">
      <c r="A74" s="80">
        <v>73.0</v>
      </c>
      <c r="B74" s="80" t="s">
        <v>1580</v>
      </c>
      <c r="C74" s="83" t="s">
        <v>176</v>
      </c>
      <c r="D74" s="83" t="s">
        <v>129</v>
      </c>
    </row>
    <row r="75">
      <c r="A75" s="80">
        <v>74.0</v>
      </c>
      <c r="B75" s="80" t="s">
        <v>1582</v>
      </c>
      <c r="C75" s="83" t="s">
        <v>177</v>
      </c>
      <c r="D75" s="83" t="s">
        <v>130</v>
      </c>
    </row>
    <row r="76">
      <c r="A76" s="80">
        <v>75.0</v>
      </c>
      <c r="B76" s="80" t="s">
        <v>1580</v>
      </c>
      <c r="C76" s="88" t="s">
        <v>180</v>
      </c>
      <c r="D76" s="88" t="s">
        <v>179</v>
      </c>
    </row>
    <row r="77">
      <c r="A77" s="80">
        <v>76.0</v>
      </c>
      <c r="B77" s="80" t="s">
        <v>1582</v>
      </c>
      <c r="C77" s="88" t="s">
        <v>181</v>
      </c>
      <c r="D77" s="88" t="s">
        <v>178</v>
      </c>
    </row>
    <row r="78">
      <c r="A78" s="89">
        <v>77.0</v>
      </c>
      <c r="B78" s="80" t="s">
        <v>1580</v>
      </c>
      <c r="C78" s="88" t="s">
        <v>182</v>
      </c>
      <c r="D78" s="88" t="s">
        <v>179</v>
      </c>
    </row>
    <row r="79">
      <c r="A79" s="80">
        <v>78.0</v>
      </c>
      <c r="B79" s="80" t="s">
        <v>1582</v>
      </c>
      <c r="C79" s="88" t="s">
        <v>183</v>
      </c>
      <c r="D79" s="88" t="s">
        <v>178</v>
      </c>
    </row>
    <row r="80">
      <c r="A80" s="80">
        <v>79.0</v>
      </c>
      <c r="B80" s="80" t="s">
        <v>1580</v>
      </c>
      <c r="C80" s="88" t="s">
        <v>186</v>
      </c>
      <c r="D80" s="88" t="s">
        <v>184</v>
      </c>
    </row>
    <row r="81">
      <c r="A81" s="80">
        <v>80.0</v>
      </c>
      <c r="B81" s="80" t="s">
        <v>1582</v>
      </c>
      <c r="C81" s="88" t="s">
        <v>187</v>
      </c>
      <c r="D81" s="88" t="s">
        <v>185</v>
      </c>
    </row>
    <row r="82">
      <c r="A82" s="80">
        <v>81.0</v>
      </c>
      <c r="B82" s="80" t="s">
        <v>1580</v>
      </c>
      <c r="C82" s="88" t="s">
        <v>1604</v>
      </c>
      <c r="D82" s="88" t="s">
        <v>184</v>
      </c>
    </row>
    <row r="83">
      <c r="A83" s="80">
        <v>82.0</v>
      </c>
      <c r="B83" s="80" t="s">
        <v>1582</v>
      </c>
      <c r="C83" s="88" t="s">
        <v>189</v>
      </c>
      <c r="D83" s="88" t="s">
        <v>185</v>
      </c>
    </row>
    <row r="84">
      <c r="A84" s="80">
        <v>83.0</v>
      </c>
      <c r="B84" s="80" t="s">
        <v>1580</v>
      </c>
      <c r="C84" s="88" t="s">
        <v>192</v>
      </c>
      <c r="D84" s="88" t="s">
        <v>1605</v>
      </c>
    </row>
    <row r="85">
      <c r="A85" s="80">
        <v>84.0</v>
      </c>
      <c r="B85" s="80" t="s">
        <v>1582</v>
      </c>
      <c r="C85" s="88" t="s">
        <v>193</v>
      </c>
      <c r="D85" s="88" t="s">
        <v>190</v>
      </c>
    </row>
    <row r="86">
      <c r="A86" s="80">
        <v>85.0</v>
      </c>
      <c r="B86" s="80" t="s">
        <v>1580</v>
      </c>
      <c r="C86" s="88" t="s">
        <v>1606</v>
      </c>
      <c r="D86" s="88" t="s">
        <v>1607</v>
      </c>
    </row>
    <row r="87">
      <c r="A87" s="80">
        <v>86.0</v>
      </c>
      <c r="B87" s="80" t="s">
        <v>1582</v>
      </c>
      <c r="C87" s="88" t="s">
        <v>1608</v>
      </c>
      <c r="D87" s="88" t="s">
        <v>1609</v>
      </c>
    </row>
    <row r="88">
      <c r="A88" s="80">
        <v>87.0</v>
      </c>
      <c r="B88" s="80" t="s">
        <v>1580</v>
      </c>
      <c r="C88" s="88" t="s">
        <v>202</v>
      </c>
      <c r="D88" s="88" t="s">
        <v>200</v>
      </c>
    </row>
    <row r="89">
      <c r="A89" s="80">
        <v>88.0</v>
      </c>
      <c r="B89" s="80" t="s">
        <v>1582</v>
      </c>
      <c r="C89" s="88" t="s">
        <v>203</v>
      </c>
      <c r="D89" s="88" t="s">
        <v>1610</v>
      </c>
    </row>
    <row r="90">
      <c r="A90" s="80">
        <v>89.0</v>
      </c>
      <c r="B90" s="80" t="s">
        <v>1580</v>
      </c>
      <c r="C90" s="88" t="s">
        <v>1611</v>
      </c>
      <c r="D90" s="88" t="s">
        <v>205</v>
      </c>
    </row>
    <row r="91">
      <c r="A91" s="80">
        <v>90.0</v>
      </c>
      <c r="B91" s="80" t="s">
        <v>1582</v>
      </c>
      <c r="C91" s="88" t="s">
        <v>1612</v>
      </c>
      <c r="D91" s="88" t="s">
        <v>206</v>
      </c>
    </row>
    <row r="92">
      <c r="A92" s="80">
        <v>91.0</v>
      </c>
      <c r="B92" s="80" t="s">
        <v>1580</v>
      </c>
      <c r="C92" s="88" t="s">
        <v>211</v>
      </c>
      <c r="D92" s="88" t="s">
        <v>209</v>
      </c>
    </row>
    <row r="93">
      <c r="A93" s="80">
        <v>92.0</v>
      </c>
      <c r="B93" s="80" t="s">
        <v>1582</v>
      </c>
      <c r="C93" s="88" t="s">
        <v>212</v>
      </c>
      <c r="D93" s="88" t="s">
        <v>210</v>
      </c>
    </row>
    <row r="94">
      <c r="A94" s="80">
        <v>93.0</v>
      </c>
      <c r="B94" s="80" t="s">
        <v>1580</v>
      </c>
      <c r="C94" s="88" t="s">
        <v>216</v>
      </c>
      <c r="D94" s="88" t="s">
        <v>214</v>
      </c>
    </row>
    <row r="95">
      <c r="A95" s="80">
        <v>94.0</v>
      </c>
      <c r="B95" s="80" t="s">
        <v>1582</v>
      </c>
      <c r="C95" s="88" t="s">
        <v>217</v>
      </c>
      <c r="D95" s="88" t="s">
        <v>215</v>
      </c>
    </row>
    <row r="96">
      <c r="A96" s="80">
        <v>95.0</v>
      </c>
      <c r="B96" s="80" t="s">
        <v>1580</v>
      </c>
      <c r="C96" s="88" t="s">
        <v>218</v>
      </c>
      <c r="D96" s="88" t="s">
        <v>41</v>
      </c>
    </row>
    <row r="97">
      <c r="A97" s="80">
        <v>96.0</v>
      </c>
      <c r="B97" s="80" t="s">
        <v>1582</v>
      </c>
      <c r="C97" s="88" t="s">
        <v>219</v>
      </c>
      <c r="D97" s="88" t="s">
        <v>42</v>
      </c>
    </row>
    <row r="98">
      <c r="A98" s="80">
        <v>97.0</v>
      </c>
      <c r="B98" s="80" t="s">
        <v>1580</v>
      </c>
      <c r="C98" s="88" t="s">
        <v>220</v>
      </c>
      <c r="D98" s="88" t="s">
        <v>46</v>
      </c>
    </row>
    <row r="99">
      <c r="A99" s="80">
        <v>98.0</v>
      </c>
      <c r="B99" s="80" t="s">
        <v>1582</v>
      </c>
      <c r="C99" s="88" t="s">
        <v>221</v>
      </c>
      <c r="D99" s="88" t="s">
        <v>47</v>
      </c>
    </row>
    <row r="100">
      <c r="A100" s="80">
        <v>99.0</v>
      </c>
      <c r="B100" s="80" t="s">
        <v>1580</v>
      </c>
      <c r="C100" s="88" t="s">
        <v>224</v>
      </c>
      <c r="D100" s="88" t="s">
        <v>222</v>
      </c>
    </row>
    <row r="101">
      <c r="A101" s="80">
        <v>100.0</v>
      </c>
      <c r="B101" s="80" t="s">
        <v>1582</v>
      </c>
      <c r="C101" s="88" t="s">
        <v>225</v>
      </c>
      <c r="D101" s="88" t="s">
        <v>223</v>
      </c>
    </row>
    <row r="102">
      <c r="A102" s="80">
        <v>101.0</v>
      </c>
      <c r="B102" s="80" t="s">
        <v>1580</v>
      </c>
      <c r="C102" s="88" t="s">
        <v>228</v>
      </c>
      <c r="D102" s="88" t="s">
        <v>226</v>
      </c>
    </row>
    <row r="103">
      <c r="A103" s="80">
        <v>102.0</v>
      </c>
      <c r="B103" s="80" t="s">
        <v>1582</v>
      </c>
      <c r="C103" s="88" t="s">
        <v>229</v>
      </c>
      <c r="D103" s="88" t="s">
        <v>227</v>
      </c>
    </row>
    <row r="104">
      <c r="A104" s="80">
        <v>103.0</v>
      </c>
      <c r="B104" s="80" t="s">
        <v>1580</v>
      </c>
      <c r="C104" s="88" t="s">
        <v>1613</v>
      </c>
      <c r="D104" s="88" t="s">
        <v>231</v>
      </c>
    </row>
    <row r="105">
      <c r="A105" s="80">
        <v>104.0</v>
      </c>
      <c r="B105" s="80" t="s">
        <v>1582</v>
      </c>
      <c r="C105" s="88" t="s">
        <v>234</v>
      </c>
      <c r="D105" s="88" t="s">
        <v>232</v>
      </c>
    </row>
    <row r="106">
      <c r="A106" s="80">
        <v>105.0</v>
      </c>
      <c r="B106" s="80" t="s">
        <v>1580</v>
      </c>
      <c r="C106" s="88" t="s">
        <v>238</v>
      </c>
      <c r="D106" s="88" t="s">
        <v>236</v>
      </c>
    </row>
    <row r="107">
      <c r="A107" s="80">
        <v>106.0</v>
      </c>
      <c r="B107" s="80" t="s">
        <v>1582</v>
      </c>
      <c r="C107" s="88" t="s">
        <v>239</v>
      </c>
      <c r="D107" s="88" t="s">
        <v>1614</v>
      </c>
    </row>
    <row r="108">
      <c r="A108" s="80">
        <v>107.0</v>
      </c>
      <c r="B108" s="80" t="s">
        <v>1580</v>
      </c>
      <c r="C108" s="88" t="s">
        <v>243</v>
      </c>
      <c r="D108" s="88" t="s">
        <v>241</v>
      </c>
    </row>
    <row r="109">
      <c r="A109" s="80">
        <v>108.0</v>
      </c>
      <c r="B109" s="80" t="s">
        <v>1582</v>
      </c>
      <c r="C109" s="88" t="s">
        <v>244</v>
      </c>
      <c r="D109" s="88" t="s">
        <v>242</v>
      </c>
    </row>
    <row r="110">
      <c r="A110" s="80">
        <v>109.0</v>
      </c>
      <c r="B110" s="80" t="s">
        <v>1580</v>
      </c>
      <c r="C110" s="88" t="s">
        <v>247</v>
      </c>
      <c r="D110" s="88" t="s">
        <v>245</v>
      </c>
    </row>
    <row r="111">
      <c r="A111" s="80">
        <v>110.0</v>
      </c>
      <c r="B111" s="80" t="s">
        <v>1582</v>
      </c>
      <c r="C111" s="88" t="s">
        <v>248</v>
      </c>
      <c r="D111" s="88" t="s">
        <v>246</v>
      </c>
    </row>
    <row r="112">
      <c r="A112" s="80">
        <v>111.0</v>
      </c>
      <c r="B112" s="80" t="s">
        <v>1580</v>
      </c>
      <c r="C112" s="88" t="s">
        <v>252</v>
      </c>
      <c r="D112" s="88" t="s">
        <v>250</v>
      </c>
    </row>
    <row r="113">
      <c r="A113" s="80">
        <v>112.0</v>
      </c>
      <c r="B113" s="80" t="s">
        <v>1582</v>
      </c>
      <c r="C113" s="88" t="s">
        <v>253</v>
      </c>
      <c r="D113" s="88" t="s">
        <v>251</v>
      </c>
    </row>
    <row r="114">
      <c r="A114" s="80">
        <v>113.0</v>
      </c>
      <c r="B114" s="80" t="s">
        <v>1580</v>
      </c>
      <c r="C114" s="88" t="s">
        <v>254</v>
      </c>
      <c r="D114" s="88" t="s">
        <v>129</v>
      </c>
    </row>
    <row r="115">
      <c r="A115" s="80">
        <v>114.0</v>
      </c>
      <c r="B115" s="80" t="s">
        <v>1582</v>
      </c>
      <c r="C115" s="88" t="s">
        <v>255</v>
      </c>
      <c r="D115" s="88" t="s">
        <v>130</v>
      </c>
    </row>
    <row r="116">
      <c r="A116" s="80">
        <v>115.0</v>
      </c>
      <c r="B116" s="80" t="s">
        <v>1580</v>
      </c>
      <c r="C116" s="88" t="s">
        <v>259</v>
      </c>
      <c r="D116" s="88" t="s">
        <v>257</v>
      </c>
    </row>
    <row r="117">
      <c r="A117" s="80">
        <v>116.0</v>
      </c>
      <c r="B117" s="80" t="s">
        <v>1582</v>
      </c>
      <c r="C117" s="88" t="s">
        <v>260</v>
      </c>
      <c r="D117" s="88" t="s">
        <v>258</v>
      </c>
    </row>
    <row r="118">
      <c r="A118" s="80">
        <v>117.0</v>
      </c>
      <c r="B118" s="80" t="s">
        <v>1580</v>
      </c>
      <c r="C118" s="88" t="s">
        <v>1615</v>
      </c>
      <c r="D118" s="88" t="s">
        <v>97</v>
      </c>
    </row>
    <row r="119">
      <c r="A119" s="80">
        <v>118.0</v>
      </c>
      <c r="B119" s="80" t="s">
        <v>1582</v>
      </c>
      <c r="C119" s="88" t="s">
        <v>262</v>
      </c>
      <c r="D119" s="88" t="s">
        <v>98</v>
      </c>
    </row>
    <row r="120">
      <c r="A120" s="80">
        <v>119.0</v>
      </c>
      <c r="B120" s="80" t="s">
        <v>1580</v>
      </c>
      <c r="C120" s="88" t="s">
        <v>266</v>
      </c>
      <c r="D120" s="88" t="s">
        <v>264</v>
      </c>
    </row>
    <row r="121">
      <c r="A121" s="80">
        <v>120.0</v>
      </c>
      <c r="B121" s="80" t="s">
        <v>1582</v>
      </c>
      <c r="C121" s="88" t="s">
        <v>267</v>
      </c>
      <c r="D121" s="88" t="s">
        <v>265</v>
      </c>
    </row>
    <row r="122">
      <c r="A122" s="80">
        <v>121.0</v>
      </c>
      <c r="B122" s="80" t="s">
        <v>1580</v>
      </c>
      <c r="C122" s="88" t="s">
        <v>1616</v>
      </c>
      <c r="D122" s="88" t="s">
        <v>269</v>
      </c>
    </row>
    <row r="123">
      <c r="A123" s="80">
        <v>122.0</v>
      </c>
      <c r="B123" s="80" t="s">
        <v>1582</v>
      </c>
      <c r="C123" s="88" t="s">
        <v>272</v>
      </c>
      <c r="D123" s="88" t="s">
        <v>270</v>
      </c>
    </row>
    <row r="124">
      <c r="A124" s="80">
        <v>123.0</v>
      </c>
      <c r="B124" s="80" t="s">
        <v>1580</v>
      </c>
      <c r="C124" s="90" t="s">
        <v>276</v>
      </c>
      <c r="D124" s="91" t="s">
        <v>274</v>
      </c>
    </row>
    <row r="125">
      <c r="A125" s="80">
        <v>124.0</v>
      </c>
      <c r="B125" s="80" t="s">
        <v>1582</v>
      </c>
      <c r="C125" s="90" t="s">
        <v>277</v>
      </c>
      <c r="D125" s="90" t="s">
        <v>275</v>
      </c>
    </row>
    <row r="126">
      <c r="A126" s="80">
        <v>125.0</v>
      </c>
      <c r="B126" s="80" t="s">
        <v>1580</v>
      </c>
      <c r="C126" s="88" t="s">
        <v>1617</v>
      </c>
      <c r="D126" s="88" t="s">
        <v>279</v>
      </c>
    </row>
    <row r="127">
      <c r="A127" s="80">
        <v>126.0</v>
      </c>
      <c r="B127" s="80" t="s">
        <v>1582</v>
      </c>
      <c r="C127" s="88" t="s">
        <v>282</v>
      </c>
      <c r="D127" s="88" t="s">
        <v>280</v>
      </c>
    </row>
    <row r="128">
      <c r="A128" s="80">
        <v>127.0</v>
      </c>
      <c r="B128" s="80" t="s">
        <v>1580</v>
      </c>
      <c r="C128" s="88" t="s">
        <v>1618</v>
      </c>
      <c r="D128" s="88" t="s">
        <v>150</v>
      </c>
    </row>
    <row r="129">
      <c r="A129" s="80">
        <v>128.0</v>
      </c>
      <c r="B129" s="80" t="s">
        <v>1582</v>
      </c>
      <c r="C129" s="88" t="s">
        <v>284</v>
      </c>
      <c r="D129" s="88" t="s">
        <v>151</v>
      </c>
    </row>
    <row r="130">
      <c r="A130" s="80">
        <v>129.0</v>
      </c>
      <c r="B130" s="80" t="s">
        <v>1580</v>
      </c>
      <c r="C130" s="88" t="s">
        <v>1619</v>
      </c>
      <c r="D130" s="88" t="s">
        <v>286</v>
      </c>
    </row>
    <row r="131">
      <c r="A131" s="80">
        <v>130.0</v>
      </c>
      <c r="B131" s="80" t="s">
        <v>1582</v>
      </c>
      <c r="C131" s="88" t="s">
        <v>1620</v>
      </c>
      <c r="D131" s="88" t="s">
        <v>287</v>
      </c>
    </row>
    <row r="132">
      <c r="A132" s="80">
        <v>131.0</v>
      </c>
      <c r="B132" s="80" t="s">
        <v>1580</v>
      </c>
      <c r="C132" s="92"/>
      <c r="D132" s="92"/>
    </row>
    <row r="133">
      <c r="A133" s="80">
        <v>132.0</v>
      </c>
      <c r="B133" s="80" t="s">
        <v>1582</v>
      </c>
      <c r="C133" s="92"/>
      <c r="D133" s="92"/>
    </row>
    <row r="134">
      <c r="A134" s="80">
        <v>133.0</v>
      </c>
      <c r="B134" s="80" t="s">
        <v>1580</v>
      </c>
      <c r="C134" s="92"/>
      <c r="D134" s="92"/>
    </row>
    <row r="135">
      <c r="A135" s="80">
        <v>134.0</v>
      </c>
      <c r="B135" s="80" t="s">
        <v>1582</v>
      </c>
      <c r="C135" s="92"/>
      <c r="D135" s="92"/>
    </row>
    <row r="136">
      <c r="A136" s="80">
        <v>135.0</v>
      </c>
      <c r="B136" s="80" t="s">
        <v>1580</v>
      </c>
      <c r="C136" s="92"/>
      <c r="D136" s="92"/>
    </row>
    <row r="137">
      <c r="A137" s="80">
        <v>136.0</v>
      </c>
      <c r="B137" s="80" t="s">
        <v>1582</v>
      </c>
      <c r="C137" s="92"/>
      <c r="D137" s="92"/>
    </row>
    <row r="138">
      <c r="A138" s="80">
        <v>137.0</v>
      </c>
      <c r="B138" s="80" t="s">
        <v>1580</v>
      </c>
      <c r="C138" s="92"/>
      <c r="D138" s="92"/>
    </row>
    <row r="139">
      <c r="A139" s="80">
        <v>138.0</v>
      </c>
      <c r="B139" s="80" t="s">
        <v>1582</v>
      </c>
      <c r="C139" s="92"/>
      <c r="D139" s="92"/>
    </row>
    <row r="140">
      <c r="A140" s="80">
        <v>139.0</v>
      </c>
      <c r="B140" s="80" t="s">
        <v>1580</v>
      </c>
      <c r="C140" s="92"/>
      <c r="D140" s="92"/>
    </row>
    <row r="141">
      <c r="A141" s="80">
        <v>140.0</v>
      </c>
      <c r="B141" s="80" t="s">
        <v>1582</v>
      </c>
      <c r="C141" s="92"/>
      <c r="D141" s="92"/>
    </row>
    <row r="142">
      <c r="A142" s="80">
        <v>141.0</v>
      </c>
      <c r="B142" s="80" t="s">
        <v>1580</v>
      </c>
      <c r="C142" s="92"/>
      <c r="D142" s="92"/>
    </row>
    <row r="143">
      <c r="A143" s="80">
        <v>142.0</v>
      </c>
      <c r="B143" s="80" t="s">
        <v>1582</v>
      </c>
      <c r="C143" s="92"/>
      <c r="D143" s="92"/>
    </row>
    <row r="144">
      <c r="A144" s="80">
        <v>143.0</v>
      </c>
      <c r="B144" s="80" t="s">
        <v>1580</v>
      </c>
      <c r="C144" s="92"/>
      <c r="D144" s="92"/>
    </row>
    <row r="145">
      <c r="A145" s="80">
        <v>144.0</v>
      </c>
      <c r="B145" s="80" t="s">
        <v>1582</v>
      </c>
      <c r="C145" s="92"/>
      <c r="D145" s="92"/>
    </row>
    <row r="146">
      <c r="A146" s="80">
        <v>145.0</v>
      </c>
      <c r="B146" s="80" t="s">
        <v>1580</v>
      </c>
      <c r="C146" s="92"/>
      <c r="D146" s="92"/>
    </row>
    <row r="147">
      <c r="A147" s="80">
        <v>146.0</v>
      </c>
      <c r="B147" s="80" t="s">
        <v>1582</v>
      </c>
      <c r="C147" s="92"/>
      <c r="D147" s="92"/>
    </row>
    <row r="148">
      <c r="A148" s="80">
        <v>147.0</v>
      </c>
      <c r="B148" s="80" t="s">
        <v>1580</v>
      </c>
      <c r="C148" s="92"/>
      <c r="D148" s="92"/>
    </row>
    <row r="149">
      <c r="A149" s="80">
        <v>148.0</v>
      </c>
      <c r="B149" s="80" t="s">
        <v>1582</v>
      </c>
      <c r="C149" s="92"/>
      <c r="D149" s="92"/>
    </row>
    <row r="150">
      <c r="A150" s="80">
        <v>149.0</v>
      </c>
      <c r="B150" s="80" t="s">
        <v>1580</v>
      </c>
      <c r="C150" s="92"/>
      <c r="D150" s="92"/>
    </row>
    <row r="151">
      <c r="A151" s="80">
        <v>150.0</v>
      </c>
      <c r="B151" s="80" t="s">
        <v>1582</v>
      </c>
      <c r="C151" s="92"/>
      <c r="D151" s="92"/>
    </row>
    <row r="152">
      <c r="A152" s="80">
        <v>151.0</v>
      </c>
      <c r="B152" s="80" t="s">
        <v>1580</v>
      </c>
      <c r="C152" s="92"/>
      <c r="D152" s="92"/>
    </row>
    <row r="153">
      <c r="A153" s="80">
        <v>152.0</v>
      </c>
      <c r="B153" s="80" t="s">
        <v>1582</v>
      </c>
      <c r="C153" s="92"/>
      <c r="D153" s="92"/>
    </row>
    <row r="154">
      <c r="A154" s="80">
        <v>153.0</v>
      </c>
      <c r="B154" s="80" t="s">
        <v>1580</v>
      </c>
      <c r="C154" s="92"/>
      <c r="D154" s="92"/>
    </row>
    <row r="155">
      <c r="A155" s="80">
        <v>154.0</v>
      </c>
      <c r="B155" s="80" t="s">
        <v>1582</v>
      </c>
      <c r="C155" s="92"/>
      <c r="D155" s="92"/>
    </row>
    <row r="156">
      <c r="A156" s="80">
        <v>155.0</v>
      </c>
      <c r="B156" s="80" t="s">
        <v>1580</v>
      </c>
      <c r="C156" s="92"/>
      <c r="D156" s="92"/>
    </row>
    <row r="157">
      <c r="A157" s="80">
        <v>156.0</v>
      </c>
      <c r="B157" s="80" t="s">
        <v>1582</v>
      </c>
      <c r="C157" s="92"/>
      <c r="D157" s="92"/>
    </row>
    <row r="158">
      <c r="A158" s="80">
        <v>157.0</v>
      </c>
      <c r="B158" s="80" t="s">
        <v>1580</v>
      </c>
      <c r="C158" s="92"/>
      <c r="D158" s="92"/>
    </row>
    <row r="159">
      <c r="A159" s="80">
        <v>158.0</v>
      </c>
      <c r="B159" s="80" t="s">
        <v>1582</v>
      </c>
      <c r="C159" s="92"/>
      <c r="D159" s="92"/>
    </row>
    <row r="160">
      <c r="A160" s="80">
        <v>159.0</v>
      </c>
      <c r="B160" s="80" t="s">
        <v>1580</v>
      </c>
      <c r="C160" s="92"/>
      <c r="D160" s="92"/>
    </row>
    <row r="161">
      <c r="A161" s="80">
        <v>160.0</v>
      </c>
      <c r="B161" s="80" t="s">
        <v>1582</v>
      </c>
      <c r="C161" s="92"/>
      <c r="D161" s="92"/>
    </row>
    <row r="162">
      <c r="A162" s="80">
        <v>161.0</v>
      </c>
      <c r="B162" s="80" t="s">
        <v>1580</v>
      </c>
      <c r="C162" s="92"/>
      <c r="D162" s="92"/>
    </row>
    <row r="163">
      <c r="A163" s="80">
        <v>162.0</v>
      </c>
      <c r="B163" s="80" t="s">
        <v>1582</v>
      </c>
      <c r="C163" s="92"/>
      <c r="D163" s="92"/>
    </row>
    <row r="164">
      <c r="A164" s="80">
        <v>163.0</v>
      </c>
      <c r="B164" s="80" t="s">
        <v>1580</v>
      </c>
      <c r="C164" s="92"/>
      <c r="D164" s="92"/>
    </row>
    <row r="165">
      <c r="A165" s="80">
        <v>164.0</v>
      </c>
      <c r="B165" s="80" t="s">
        <v>1582</v>
      </c>
      <c r="C165" s="92"/>
      <c r="D165" s="92"/>
    </row>
    <row r="166">
      <c r="A166" s="80">
        <v>165.0</v>
      </c>
      <c r="B166" s="80" t="s">
        <v>1580</v>
      </c>
      <c r="C166" s="92"/>
      <c r="D166" s="92"/>
    </row>
    <row r="167">
      <c r="A167" s="80">
        <v>166.0</v>
      </c>
      <c r="B167" s="80" t="s">
        <v>1582</v>
      </c>
      <c r="C167" s="92"/>
      <c r="D167" s="92"/>
    </row>
    <row r="168">
      <c r="A168" s="80">
        <v>167.0</v>
      </c>
      <c r="B168" s="80" t="s">
        <v>1580</v>
      </c>
      <c r="C168" s="92"/>
      <c r="D168" s="92"/>
    </row>
    <row r="169">
      <c r="A169" s="80">
        <v>168.0</v>
      </c>
      <c r="B169" s="80" t="s">
        <v>1582</v>
      </c>
      <c r="C169" s="92"/>
      <c r="D169" s="92"/>
    </row>
    <row r="170">
      <c r="A170" s="80">
        <v>169.0</v>
      </c>
      <c r="B170" s="80" t="s">
        <v>1580</v>
      </c>
      <c r="C170" s="92"/>
      <c r="D170" s="92"/>
    </row>
    <row r="171">
      <c r="A171" s="80">
        <v>170.0</v>
      </c>
      <c r="B171" s="80" t="s">
        <v>1582</v>
      </c>
      <c r="C171" s="92"/>
      <c r="D171" s="92"/>
    </row>
    <row r="172">
      <c r="A172" s="80">
        <v>171.0</v>
      </c>
      <c r="B172" s="80" t="s">
        <v>1580</v>
      </c>
      <c r="C172" s="92"/>
      <c r="D172" s="92"/>
    </row>
    <row r="173">
      <c r="A173" s="80">
        <v>172.0</v>
      </c>
      <c r="B173" s="80" t="s">
        <v>1582</v>
      </c>
      <c r="C173" s="92"/>
      <c r="D173" s="92"/>
    </row>
    <row r="174">
      <c r="A174" s="80">
        <v>173.0</v>
      </c>
      <c r="B174" s="80" t="s">
        <v>1580</v>
      </c>
      <c r="C174" s="92"/>
      <c r="D174" s="92"/>
    </row>
    <row r="175">
      <c r="A175" s="80">
        <v>174.0</v>
      </c>
      <c r="B175" s="80" t="s">
        <v>1582</v>
      </c>
      <c r="C175" s="92"/>
      <c r="D175" s="92"/>
    </row>
    <row r="176">
      <c r="A176" s="80">
        <v>175.0</v>
      </c>
      <c r="B176" s="80" t="s">
        <v>1580</v>
      </c>
      <c r="C176" s="92"/>
      <c r="D176" s="92"/>
    </row>
    <row r="177">
      <c r="A177" s="80">
        <v>176.0</v>
      </c>
      <c r="B177" s="80" t="s">
        <v>1582</v>
      </c>
      <c r="C177" s="92"/>
      <c r="D177" s="92"/>
    </row>
    <row r="178">
      <c r="A178" s="80">
        <v>177.0</v>
      </c>
      <c r="B178" s="80" t="s">
        <v>1580</v>
      </c>
      <c r="C178" s="92"/>
      <c r="D178" s="92"/>
    </row>
    <row r="179">
      <c r="A179" s="80">
        <v>178.0</v>
      </c>
      <c r="B179" s="80" t="s">
        <v>1582</v>
      </c>
      <c r="C179" s="92"/>
      <c r="D179" s="92"/>
    </row>
    <row r="180">
      <c r="A180" s="80">
        <v>179.0</v>
      </c>
      <c r="B180" s="80" t="s">
        <v>1580</v>
      </c>
      <c r="C180" s="92"/>
      <c r="D180" s="92"/>
    </row>
    <row r="181">
      <c r="A181" s="80">
        <v>180.0</v>
      </c>
      <c r="B181" s="80" t="s">
        <v>1582</v>
      </c>
      <c r="C181" s="92"/>
      <c r="D181" s="92"/>
    </row>
    <row r="182">
      <c r="A182" s="80">
        <v>181.0</v>
      </c>
      <c r="B182" s="80" t="s">
        <v>1580</v>
      </c>
      <c r="C182" s="92"/>
      <c r="D182" s="92"/>
    </row>
    <row r="183">
      <c r="A183" s="80">
        <v>182.0</v>
      </c>
      <c r="B183" s="80" t="s">
        <v>1582</v>
      </c>
      <c r="C183" s="92"/>
      <c r="D183" s="92"/>
    </row>
    <row r="184">
      <c r="A184" s="80">
        <v>183.0</v>
      </c>
      <c r="B184" s="80" t="s">
        <v>1580</v>
      </c>
      <c r="C184" s="92"/>
      <c r="D184" s="92"/>
    </row>
    <row r="185">
      <c r="A185" s="80">
        <v>184.0</v>
      </c>
      <c r="B185" s="80" t="s">
        <v>1582</v>
      </c>
      <c r="C185" s="92"/>
      <c r="D185" s="92"/>
    </row>
    <row r="186">
      <c r="A186" s="80">
        <v>185.0</v>
      </c>
      <c r="B186" s="80" t="s">
        <v>1580</v>
      </c>
      <c r="C186" s="92"/>
      <c r="D186" s="92"/>
    </row>
    <row r="187">
      <c r="A187" s="80">
        <v>186.0</v>
      </c>
      <c r="B187" s="80" t="s">
        <v>1582</v>
      </c>
      <c r="C187" s="92"/>
      <c r="D187" s="92"/>
    </row>
    <row r="188">
      <c r="A188" s="80">
        <v>187.0</v>
      </c>
      <c r="B188" s="80" t="s">
        <v>1580</v>
      </c>
      <c r="C188" s="92"/>
      <c r="D188" s="92"/>
    </row>
    <row r="189">
      <c r="A189" s="80">
        <v>188.0</v>
      </c>
      <c r="B189" s="80" t="s">
        <v>1582</v>
      </c>
      <c r="C189" s="92"/>
      <c r="D189" s="92"/>
    </row>
    <row r="190">
      <c r="A190" s="80">
        <v>189.0</v>
      </c>
      <c r="B190" s="80" t="s">
        <v>1580</v>
      </c>
      <c r="C190" s="92"/>
      <c r="D190" s="92"/>
    </row>
    <row r="191">
      <c r="A191" s="80">
        <v>190.0</v>
      </c>
      <c r="B191" s="80" t="s">
        <v>1582</v>
      </c>
      <c r="C191" s="92"/>
      <c r="D191" s="92"/>
    </row>
    <row r="192">
      <c r="A192" s="80">
        <v>191.0</v>
      </c>
      <c r="B192" s="80" t="s">
        <v>1580</v>
      </c>
      <c r="C192" s="92"/>
      <c r="D192" s="92"/>
    </row>
    <row r="193">
      <c r="A193" s="80">
        <v>192.0</v>
      </c>
      <c r="B193" s="80" t="s">
        <v>1582</v>
      </c>
      <c r="C193" s="92"/>
      <c r="D193" s="92"/>
    </row>
    <row r="194">
      <c r="A194" s="80">
        <v>193.0</v>
      </c>
      <c r="B194" s="80" t="s">
        <v>1580</v>
      </c>
      <c r="C194" s="92"/>
      <c r="D194" s="92"/>
    </row>
    <row r="195">
      <c r="A195" s="80">
        <v>194.0</v>
      </c>
      <c r="B195" s="80" t="s">
        <v>1582</v>
      </c>
      <c r="C195" s="92"/>
      <c r="D195" s="92"/>
    </row>
    <row r="196">
      <c r="A196" s="80">
        <v>195.0</v>
      </c>
      <c r="B196" s="80" t="s">
        <v>1580</v>
      </c>
      <c r="C196" s="92"/>
      <c r="D196" s="92"/>
    </row>
    <row r="197">
      <c r="A197" s="80">
        <v>196.0</v>
      </c>
      <c r="B197" s="80" t="s">
        <v>1582</v>
      </c>
      <c r="C197" s="92"/>
      <c r="D197" s="92"/>
    </row>
    <row r="198">
      <c r="A198" s="80">
        <v>197.0</v>
      </c>
      <c r="B198" s="80" t="s">
        <v>1580</v>
      </c>
      <c r="C198" s="92"/>
      <c r="D198" s="92"/>
    </row>
    <row r="199">
      <c r="A199" s="80">
        <v>198.0</v>
      </c>
      <c r="B199" s="80" t="s">
        <v>1582</v>
      </c>
      <c r="C199" s="92"/>
      <c r="D199" s="92"/>
    </row>
    <row r="200">
      <c r="A200" s="80">
        <v>199.0</v>
      </c>
      <c r="B200" s="80" t="s">
        <v>1580</v>
      </c>
      <c r="C200" s="92"/>
      <c r="D200" s="92"/>
    </row>
    <row r="201">
      <c r="A201" s="80">
        <v>200.0</v>
      </c>
      <c r="B201" s="80" t="s">
        <v>1582</v>
      </c>
      <c r="C201" s="92"/>
      <c r="D201" s="92"/>
    </row>
    <row r="202">
      <c r="A202" s="80">
        <v>201.0</v>
      </c>
      <c r="B202" s="80" t="s">
        <v>1580</v>
      </c>
      <c r="C202" s="92"/>
      <c r="D202" s="92"/>
    </row>
    <row r="203">
      <c r="A203" s="80">
        <v>202.0</v>
      </c>
      <c r="B203" s="80" t="s">
        <v>1582</v>
      </c>
      <c r="C203" s="92"/>
      <c r="D203" s="92"/>
    </row>
    <row r="204">
      <c r="A204" s="80">
        <v>203.0</v>
      </c>
      <c r="B204" s="80" t="s">
        <v>1580</v>
      </c>
      <c r="C204" s="92"/>
      <c r="D204" s="92"/>
    </row>
    <row r="205">
      <c r="A205" s="80">
        <v>204.0</v>
      </c>
      <c r="B205" s="80" t="s">
        <v>1582</v>
      </c>
      <c r="C205" s="92"/>
      <c r="D205" s="92"/>
    </row>
    <row r="206">
      <c r="A206" s="80">
        <v>205.0</v>
      </c>
      <c r="B206" s="80" t="s">
        <v>1580</v>
      </c>
      <c r="C206" s="92"/>
      <c r="D206" s="92"/>
    </row>
    <row r="207">
      <c r="A207" s="80">
        <v>206.0</v>
      </c>
      <c r="B207" s="80" t="s">
        <v>1582</v>
      </c>
      <c r="C207" s="92"/>
      <c r="D207" s="92"/>
    </row>
    <row r="208">
      <c r="A208" s="80">
        <v>207.0</v>
      </c>
      <c r="B208" s="80" t="s">
        <v>1580</v>
      </c>
      <c r="C208" s="92"/>
      <c r="D208" s="92"/>
    </row>
    <row r="209">
      <c r="A209" s="80">
        <v>208.0</v>
      </c>
      <c r="B209" s="80" t="s">
        <v>1582</v>
      </c>
      <c r="C209" s="92"/>
      <c r="D209" s="92"/>
    </row>
    <row r="210">
      <c r="A210" s="80">
        <v>209.0</v>
      </c>
      <c r="B210" s="80" t="s">
        <v>1580</v>
      </c>
      <c r="C210" s="92"/>
      <c r="D210" s="92"/>
    </row>
    <row r="211">
      <c r="A211" s="80">
        <v>210.0</v>
      </c>
      <c r="B211" s="80" t="s">
        <v>1582</v>
      </c>
      <c r="C211" s="92"/>
      <c r="D211" s="92"/>
    </row>
    <row r="212">
      <c r="A212" s="80">
        <v>211.0</v>
      </c>
      <c r="B212" s="80" t="s">
        <v>1580</v>
      </c>
      <c r="C212" s="92"/>
      <c r="D212" s="92"/>
    </row>
    <row r="213">
      <c r="A213" s="80">
        <v>212.0</v>
      </c>
      <c r="B213" s="80" t="s">
        <v>1582</v>
      </c>
      <c r="C213" s="92"/>
      <c r="D213" s="92"/>
    </row>
    <row r="214">
      <c r="A214" s="80">
        <v>213.0</v>
      </c>
      <c r="B214" s="80" t="s">
        <v>1580</v>
      </c>
      <c r="C214" s="92"/>
      <c r="D214" s="92"/>
    </row>
    <row r="215">
      <c r="A215" s="80">
        <v>214.0</v>
      </c>
      <c r="B215" s="80" t="s">
        <v>1582</v>
      </c>
      <c r="C215" s="92"/>
      <c r="D215" s="92"/>
    </row>
    <row r="216">
      <c r="A216" s="80">
        <v>215.0</v>
      </c>
      <c r="B216" s="80" t="s">
        <v>1580</v>
      </c>
      <c r="C216" s="92"/>
      <c r="D216" s="92"/>
    </row>
    <row r="217">
      <c r="A217" s="80">
        <v>216.0</v>
      </c>
      <c r="B217" s="80" t="s">
        <v>1582</v>
      </c>
      <c r="C217" s="92"/>
      <c r="D217" s="92"/>
    </row>
    <row r="218">
      <c r="A218" s="80">
        <v>217.0</v>
      </c>
      <c r="B218" s="80" t="s">
        <v>1580</v>
      </c>
      <c r="C218" s="92"/>
      <c r="D218" s="92"/>
    </row>
    <row r="219">
      <c r="A219" s="80">
        <v>218.0</v>
      </c>
      <c r="B219" s="80" t="s">
        <v>1582</v>
      </c>
      <c r="C219" s="92"/>
      <c r="D219" s="92"/>
    </row>
    <row r="220">
      <c r="A220" s="80">
        <v>219.0</v>
      </c>
      <c r="B220" s="80" t="s">
        <v>1580</v>
      </c>
      <c r="C220" s="92"/>
      <c r="D220" s="92"/>
    </row>
    <row r="221">
      <c r="A221" s="80">
        <v>220.0</v>
      </c>
      <c r="B221" s="80" t="s">
        <v>1582</v>
      </c>
      <c r="C221" s="92"/>
      <c r="D221" s="92"/>
    </row>
    <row r="222">
      <c r="A222" s="80">
        <v>221.0</v>
      </c>
      <c r="B222" s="80" t="s">
        <v>1580</v>
      </c>
      <c r="C222" s="92"/>
      <c r="D222" s="92"/>
    </row>
    <row r="223">
      <c r="A223" s="80">
        <v>222.0</v>
      </c>
      <c r="B223" s="80" t="s">
        <v>1582</v>
      </c>
      <c r="C223" s="92"/>
      <c r="D223" s="92"/>
    </row>
    <row r="224">
      <c r="A224" s="80">
        <v>223.0</v>
      </c>
      <c r="B224" s="80" t="s">
        <v>1580</v>
      </c>
      <c r="C224" s="92"/>
      <c r="D224" s="92"/>
    </row>
    <row r="225">
      <c r="A225" s="80">
        <v>224.0</v>
      </c>
      <c r="B225" s="80" t="s">
        <v>1582</v>
      </c>
      <c r="C225" s="92"/>
      <c r="D225" s="92"/>
    </row>
    <row r="226">
      <c r="A226" s="80">
        <v>225.0</v>
      </c>
      <c r="B226" s="80" t="s">
        <v>1580</v>
      </c>
      <c r="C226" s="92"/>
      <c r="D226" s="92"/>
    </row>
    <row r="227">
      <c r="A227" s="80">
        <v>226.0</v>
      </c>
      <c r="B227" s="80" t="s">
        <v>1582</v>
      </c>
      <c r="C227" s="92"/>
      <c r="D227" s="92"/>
    </row>
    <row r="228">
      <c r="A228" s="80">
        <v>227.0</v>
      </c>
      <c r="B228" s="80" t="s">
        <v>1580</v>
      </c>
      <c r="C228" s="92"/>
      <c r="D228" s="92"/>
    </row>
    <row r="229">
      <c r="A229" s="80">
        <v>228.0</v>
      </c>
      <c r="B229" s="80" t="s">
        <v>1582</v>
      </c>
      <c r="C229" s="92"/>
      <c r="D229" s="92"/>
    </row>
    <row r="230">
      <c r="A230" s="80">
        <v>229.0</v>
      </c>
      <c r="B230" s="80" t="s">
        <v>1580</v>
      </c>
      <c r="C230" s="92"/>
      <c r="D230" s="92"/>
    </row>
    <row r="231">
      <c r="A231" s="80">
        <v>230.0</v>
      </c>
      <c r="B231" s="80" t="s">
        <v>1582</v>
      </c>
      <c r="C231" s="92"/>
      <c r="D231" s="92"/>
    </row>
    <row r="232">
      <c r="A232" s="80">
        <v>231.0</v>
      </c>
      <c r="B232" s="80" t="s">
        <v>1580</v>
      </c>
      <c r="C232" s="92"/>
      <c r="D232" s="92"/>
    </row>
    <row r="233">
      <c r="A233" s="80">
        <v>232.0</v>
      </c>
      <c r="B233" s="80" t="s">
        <v>1582</v>
      </c>
      <c r="C233" s="92"/>
      <c r="D233" s="92"/>
    </row>
    <row r="234">
      <c r="A234" s="80">
        <v>233.0</v>
      </c>
      <c r="B234" s="80" t="s">
        <v>1580</v>
      </c>
      <c r="C234" s="92"/>
      <c r="D234" s="92"/>
    </row>
    <row r="235">
      <c r="A235" s="80">
        <v>234.0</v>
      </c>
      <c r="B235" s="80" t="s">
        <v>1582</v>
      </c>
      <c r="C235" s="92"/>
      <c r="D235" s="92"/>
    </row>
    <row r="236">
      <c r="A236" s="80">
        <v>235.0</v>
      </c>
      <c r="B236" s="80" t="s">
        <v>1580</v>
      </c>
      <c r="C236" s="92"/>
      <c r="D236" s="92"/>
    </row>
    <row r="237">
      <c r="A237" s="80">
        <v>236.0</v>
      </c>
      <c r="B237" s="80" t="s">
        <v>1582</v>
      </c>
      <c r="C237" s="92"/>
      <c r="D237" s="92"/>
    </row>
    <row r="238">
      <c r="A238" s="80">
        <v>237.0</v>
      </c>
      <c r="B238" s="80" t="s">
        <v>1580</v>
      </c>
      <c r="C238" s="92"/>
      <c r="D238" s="92"/>
    </row>
    <row r="239">
      <c r="A239" s="80">
        <v>238.0</v>
      </c>
      <c r="B239" s="80" t="s">
        <v>1582</v>
      </c>
      <c r="C239" s="92"/>
      <c r="D239" s="92"/>
    </row>
    <row r="240">
      <c r="A240" s="80">
        <v>239.0</v>
      </c>
      <c r="B240" s="80" t="s">
        <v>1580</v>
      </c>
      <c r="C240" s="92"/>
      <c r="D240" s="92"/>
    </row>
    <row r="241">
      <c r="A241" s="80">
        <v>240.0</v>
      </c>
      <c r="B241" s="80" t="s">
        <v>1582</v>
      </c>
      <c r="C241" s="92"/>
      <c r="D241" s="92"/>
    </row>
    <row r="242">
      <c r="A242" s="80">
        <v>241.0</v>
      </c>
      <c r="B242" s="80" t="s">
        <v>1580</v>
      </c>
      <c r="C242" s="92"/>
      <c r="D242" s="92"/>
    </row>
    <row r="243">
      <c r="A243" s="80">
        <v>242.0</v>
      </c>
      <c r="B243" s="80" t="s">
        <v>1582</v>
      </c>
      <c r="C243" s="92"/>
      <c r="D243" s="92"/>
    </row>
    <row r="244">
      <c r="A244" s="80">
        <v>243.0</v>
      </c>
      <c r="B244" s="80" t="s">
        <v>1580</v>
      </c>
      <c r="C244" s="92"/>
      <c r="D244" s="92"/>
    </row>
    <row r="245">
      <c r="A245" s="80">
        <v>244.0</v>
      </c>
      <c r="B245" s="80" t="s">
        <v>1582</v>
      </c>
      <c r="C245" s="92"/>
      <c r="D245" s="92"/>
    </row>
    <row r="246">
      <c r="A246" s="80">
        <v>245.0</v>
      </c>
      <c r="B246" s="80" t="s">
        <v>1580</v>
      </c>
      <c r="C246" s="92"/>
      <c r="D246" s="92"/>
    </row>
    <row r="247">
      <c r="A247" s="80">
        <v>246.0</v>
      </c>
      <c r="B247" s="80" t="s">
        <v>1582</v>
      </c>
      <c r="C247" s="92"/>
      <c r="D247" s="92"/>
    </row>
    <row r="248">
      <c r="A248" s="80">
        <v>247.0</v>
      </c>
      <c r="B248" s="80" t="s">
        <v>1580</v>
      </c>
      <c r="C248" s="92"/>
      <c r="D248" s="92"/>
    </row>
    <row r="249">
      <c r="A249" s="80">
        <v>248.0</v>
      </c>
      <c r="B249" s="80" t="s">
        <v>1582</v>
      </c>
      <c r="C249" s="92"/>
      <c r="D249" s="92"/>
    </row>
    <row r="250">
      <c r="A250" s="80">
        <v>249.0</v>
      </c>
      <c r="B250" s="80" t="s">
        <v>1580</v>
      </c>
      <c r="C250" s="92"/>
      <c r="D250" s="92"/>
    </row>
    <row r="251">
      <c r="A251" s="80">
        <v>250.0</v>
      </c>
      <c r="B251" s="80" t="s">
        <v>1582</v>
      </c>
      <c r="C251" s="92"/>
      <c r="D251" s="92"/>
    </row>
    <row r="252">
      <c r="A252" s="80">
        <v>251.0</v>
      </c>
      <c r="B252" s="80" t="s">
        <v>1580</v>
      </c>
      <c r="C252" s="92"/>
      <c r="D252" s="92"/>
    </row>
    <row r="253">
      <c r="A253" s="80">
        <v>252.0</v>
      </c>
      <c r="B253" s="80" t="s">
        <v>1582</v>
      </c>
      <c r="C253" s="92"/>
      <c r="D253" s="92"/>
    </row>
    <row r="254">
      <c r="A254" s="80">
        <v>253.0</v>
      </c>
      <c r="B254" s="80" t="s">
        <v>1580</v>
      </c>
      <c r="C254" s="92"/>
      <c r="D254" s="92"/>
    </row>
    <row r="255">
      <c r="A255" s="80">
        <v>254.0</v>
      </c>
      <c r="B255" s="80" t="s">
        <v>1582</v>
      </c>
      <c r="C255" s="92"/>
      <c r="D255" s="92"/>
    </row>
    <row r="256">
      <c r="A256" s="80">
        <v>255.0</v>
      </c>
      <c r="B256" s="80" t="s">
        <v>1580</v>
      </c>
      <c r="C256" s="92"/>
      <c r="D256" s="92"/>
    </row>
    <row r="257">
      <c r="A257" s="80">
        <v>256.0</v>
      </c>
      <c r="B257" s="80" t="s">
        <v>1582</v>
      </c>
      <c r="C257" s="92"/>
      <c r="D257" s="92"/>
    </row>
    <row r="258">
      <c r="A258" s="80">
        <v>257.0</v>
      </c>
      <c r="B258" s="80" t="s">
        <v>1580</v>
      </c>
      <c r="C258" s="92"/>
      <c r="D258" s="92"/>
    </row>
    <row r="259">
      <c r="A259" s="80">
        <v>258.0</v>
      </c>
      <c r="B259" s="80" t="s">
        <v>1582</v>
      </c>
      <c r="C259" s="92"/>
      <c r="D259" s="92"/>
    </row>
    <row r="260">
      <c r="A260" s="80">
        <v>259.0</v>
      </c>
      <c r="B260" s="80" t="s">
        <v>1580</v>
      </c>
      <c r="C260" s="92"/>
      <c r="D260" s="92"/>
    </row>
    <row r="261">
      <c r="A261" s="80">
        <v>260.0</v>
      </c>
      <c r="B261" s="80" t="s">
        <v>1582</v>
      </c>
      <c r="C261" s="92"/>
      <c r="D261" s="92"/>
    </row>
    <row r="262">
      <c r="A262" s="80">
        <v>261.0</v>
      </c>
      <c r="B262" s="80" t="s">
        <v>1580</v>
      </c>
      <c r="C262" s="92"/>
      <c r="D262" s="92"/>
    </row>
    <row r="263">
      <c r="A263" s="80">
        <v>262.0</v>
      </c>
      <c r="B263" s="80" t="s">
        <v>1582</v>
      </c>
      <c r="C263" s="92"/>
      <c r="D263" s="92"/>
    </row>
    <row r="264">
      <c r="A264" s="80">
        <v>263.0</v>
      </c>
      <c r="B264" s="80" t="s">
        <v>1580</v>
      </c>
      <c r="C264" s="92"/>
      <c r="D264" s="92"/>
    </row>
    <row r="265">
      <c r="A265" s="80">
        <v>264.0</v>
      </c>
      <c r="B265" s="80" t="s">
        <v>1582</v>
      </c>
      <c r="C265" s="92"/>
      <c r="D265" s="92"/>
    </row>
    <row r="266">
      <c r="A266" s="80">
        <v>265.0</v>
      </c>
      <c r="B266" s="80" t="s">
        <v>1580</v>
      </c>
      <c r="C266" s="92"/>
      <c r="D266" s="92"/>
    </row>
    <row r="267">
      <c r="A267" s="80">
        <v>266.0</v>
      </c>
      <c r="B267" s="80" t="s">
        <v>1582</v>
      </c>
      <c r="C267" s="92"/>
      <c r="D267" s="92"/>
    </row>
    <row r="268">
      <c r="A268" s="80">
        <v>267.0</v>
      </c>
      <c r="B268" s="80" t="s">
        <v>1580</v>
      </c>
      <c r="C268" s="92"/>
      <c r="D268" s="92"/>
    </row>
    <row r="269">
      <c r="A269" s="80">
        <v>268.0</v>
      </c>
      <c r="B269" s="80" t="s">
        <v>1582</v>
      </c>
      <c r="C269" s="92"/>
      <c r="D269" s="92"/>
    </row>
    <row r="270">
      <c r="A270" s="80">
        <v>269.0</v>
      </c>
      <c r="B270" s="80" t="s">
        <v>1580</v>
      </c>
      <c r="C270" s="92"/>
      <c r="D270" s="92"/>
    </row>
    <row r="271">
      <c r="A271" s="80">
        <v>270.0</v>
      </c>
      <c r="B271" s="80" t="s">
        <v>1582</v>
      </c>
      <c r="C271" s="92"/>
      <c r="D271" s="92"/>
    </row>
    <row r="272">
      <c r="A272" s="80">
        <v>271.0</v>
      </c>
      <c r="B272" s="80" t="s">
        <v>1580</v>
      </c>
      <c r="C272" s="92"/>
      <c r="D272" s="92"/>
    </row>
    <row r="273">
      <c r="A273" s="80">
        <v>272.0</v>
      </c>
      <c r="B273" s="80" t="s">
        <v>1582</v>
      </c>
      <c r="C273" s="92"/>
      <c r="D273" s="92"/>
    </row>
    <row r="274">
      <c r="A274" s="80">
        <v>273.0</v>
      </c>
      <c r="B274" s="80" t="s">
        <v>1580</v>
      </c>
      <c r="C274" s="92"/>
      <c r="D274" s="92"/>
    </row>
    <row r="275">
      <c r="A275" s="80">
        <v>274.0</v>
      </c>
      <c r="B275" s="80" t="s">
        <v>1582</v>
      </c>
      <c r="C275" s="92"/>
      <c r="D275" s="92"/>
    </row>
    <row r="276">
      <c r="A276" s="80">
        <v>275.0</v>
      </c>
      <c r="B276" s="80" t="s">
        <v>1580</v>
      </c>
      <c r="C276" s="92"/>
      <c r="D276" s="92"/>
    </row>
    <row r="277">
      <c r="A277" s="80">
        <v>276.0</v>
      </c>
      <c r="B277" s="80" t="s">
        <v>1582</v>
      </c>
      <c r="C277" s="92"/>
      <c r="D277" s="92"/>
    </row>
    <row r="278">
      <c r="A278" s="80">
        <v>277.0</v>
      </c>
      <c r="B278" s="80" t="s">
        <v>1580</v>
      </c>
      <c r="C278" s="92"/>
      <c r="D278" s="92"/>
    </row>
    <row r="279">
      <c r="A279" s="80">
        <v>278.0</v>
      </c>
      <c r="B279" s="80" t="s">
        <v>1582</v>
      </c>
      <c r="C279" s="92"/>
      <c r="D279" s="92"/>
    </row>
    <row r="280">
      <c r="A280" s="80">
        <v>279.0</v>
      </c>
      <c r="B280" s="80" t="s">
        <v>1580</v>
      </c>
      <c r="C280" s="92"/>
      <c r="D280" s="92"/>
    </row>
    <row r="281">
      <c r="A281" s="80">
        <v>280.0</v>
      </c>
      <c r="B281" s="80" t="s">
        <v>1582</v>
      </c>
      <c r="C281" s="92"/>
      <c r="D281" s="92"/>
    </row>
    <row r="282">
      <c r="A282" s="80">
        <v>281.0</v>
      </c>
      <c r="B282" s="80" t="s">
        <v>1580</v>
      </c>
      <c r="C282" s="92"/>
      <c r="D282" s="92"/>
    </row>
    <row r="283">
      <c r="A283" s="80">
        <v>282.0</v>
      </c>
      <c r="B283" s="80" t="s">
        <v>1582</v>
      </c>
      <c r="C283" s="92"/>
      <c r="D283" s="92"/>
    </row>
    <row r="284">
      <c r="A284" s="80">
        <v>283.0</v>
      </c>
      <c r="B284" s="80" t="s">
        <v>1580</v>
      </c>
      <c r="C284" s="92"/>
      <c r="D284" s="92"/>
    </row>
    <row r="285">
      <c r="A285" s="80">
        <v>284.0</v>
      </c>
      <c r="B285" s="80" t="s">
        <v>1582</v>
      </c>
      <c r="C285" s="92"/>
      <c r="D285" s="92"/>
    </row>
    <row r="286">
      <c r="A286" s="80">
        <v>285.0</v>
      </c>
      <c r="B286" s="80" t="s">
        <v>1580</v>
      </c>
      <c r="C286" s="92"/>
      <c r="D286" s="92"/>
    </row>
    <row r="287">
      <c r="A287" s="80">
        <v>286.0</v>
      </c>
      <c r="B287" s="80" t="s">
        <v>1582</v>
      </c>
      <c r="C287" s="92"/>
      <c r="D287" s="92"/>
    </row>
    <row r="288">
      <c r="A288" s="80">
        <v>287.0</v>
      </c>
      <c r="B288" s="80" t="s">
        <v>1580</v>
      </c>
      <c r="C288" s="92"/>
      <c r="D288" s="92"/>
    </row>
    <row r="289">
      <c r="A289" s="80">
        <v>288.0</v>
      </c>
      <c r="B289" s="80" t="s">
        <v>1582</v>
      </c>
      <c r="C289" s="92"/>
      <c r="D289" s="92"/>
    </row>
    <row r="290">
      <c r="A290" s="80">
        <v>289.0</v>
      </c>
      <c r="B290" s="80" t="s">
        <v>1580</v>
      </c>
      <c r="C290" s="92"/>
      <c r="D290" s="92"/>
    </row>
    <row r="291">
      <c r="A291" s="80">
        <v>290.0</v>
      </c>
      <c r="B291" s="80" t="s">
        <v>1582</v>
      </c>
      <c r="C291" s="92"/>
      <c r="D291" s="92"/>
    </row>
    <row r="292">
      <c r="A292" s="80">
        <v>291.0</v>
      </c>
      <c r="B292" s="80" t="s">
        <v>1580</v>
      </c>
      <c r="C292" s="92"/>
      <c r="D292" s="92"/>
    </row>
    <row r="293">
      <c r="A293" s="80">
        <v>292.0</v>
      </c>
      <c r="B293" s="80" t="s">
        <v>1582</v>
      </c>
      <c r="C293" s="92"/>
      <c r="D293" s="92"/>
    </row>
    <row r="294">
      <c r="A294" s="80">
        <v>293.0</v>
      </c>
      <c r="B294" s="80" t="s">
        <v>1580</v>
      </c>
      <c r="C294" s="92"/>
      <c r="D294" s="92"/>
    </row>
    <row r="295">
      <c r="A295" s="80">
        <v>294.0</v>
      </c>
      <c r="B295" s="80" t="s">
        <v>1582</v>
      </c>
      <c r="C295" s="92"/>
      <c r="D295" s="92"/>
    </row>
    <row r="296">
      <c r="A296" s="80">
        <v>295.0</v>
      </c>
      <c r="B296" s="80" t="s">
        <v>1580</v>
      </c>
      <c r="C296" s="92"/>
      <c r="D296" s="92"/>
    </row>
    <row r="297">
      <c r="A297" s="80">
        <v>296.0</v>
      </c>
      <c r="B297" s="80" t="s">
        <v>1582</v>
      </c>
      <c r="C297" s="92"/>
      <c r="D297" s="92"/>
    </row>
    <row r="298">
      <c r="A298" s="80">
        <v>297.0</v>
      </c>
      <c r="B298" s="80" t="s">
        <v>1580</v>
      </c>
      <c r="C298" s="92"/>
      <c r="D298" s="92"/>
    </row>
    <row r="299">
      <c r="A299" s="80">
        <v>298.0</v>
      </c>
      <c r="B299" s="80" t="s">
        <v>1582</v>
      </c>
      <c r="C299" s="92"/>
      <c r="D299" s="92"/>
    </row>
    <row r="300">
      <c r="A300" s="80">
        <v>299.0</v>
      </c>
      <c r="B300" s="80" t="s">
        <v>1580</v>
      </c>
      <c r="C300" s="92"/>
      <c r="D300" s="92"/>
    </row>
    <row r="301">
      <c r="A301" s="80">
        <v>300.0</v>
      </c>
      <c r="B301" s="80" t="s">
        <v>1582</v>
      </c>
      <c r="C301" s="92"/>
      <c r="D301" s="92"/>
    </row>
    <row r="302">
      <c r="A302" s="80">
        <v>301.0</v>
      </c>
      <c r="B302" s="80" t="s">
        <v>1580</v>
      </c>
      <c r="C302" s="92"/>
      <c r="D302" s="92"/>
    </row>
    <row r="303">
      <c r="A303" s="80">
        <v>302.0</v>
      </c>
      <c r="B303" s="80" t="s">
        <v>1582</v>
      </c>
      <c r="C303" s="92"/>
      <c r="D303" s="92"/>
    </row>
    <row r="304">
      <c r="A304" s="80">
        <v>303.0</v>
      </c>
      <c r="B304" s="80" t="s">
        <v>1580</v>
      </c>
      <c r="C304" s="92"/>
      <c r="D304" s="92"/>
    </row>
    <row r="305">
      <c r="A305" s="80">
        <v>304.0</v>
      </c>
      <c r="B305" s="80" t="s">
        <v>1582</v>
      </c>
      <c r="C305" s="92"/>
      <c r="D305" s="92"/>
    </row>
    <row r="306">
      <c r="A306" s="80">
        <v>305.0</v>
      </c>
      <c r="B306" s="80" t="s">
        <v>1580</v>
      </c>
      <c r="C306" s="92"/>
      <c r="D306" s="92"/>
    </row>
    <row r="307">
      <c r="A307" s="80">
        <v>306.0</v>
      </c>
      <c r="B307" s="80" t="s">
        <v>1582</v>
      </c>
      <c r="C307" s="92"/>
      <c r="D307" s="92"/>
    </row>
    <row r="308">
      <c r="A308" s="80">
        <v>307.0</v>
      </c>
      <c r="B308" s="80" t="s">
        <v>1580</v>
      </c>
      <c r="C308" s="92"/>
      <c r="D308" s="92"/>
    </row>
    <row r="309">
      <c r="A309" s="80">
        <v>308.0</v>
      </c>
      <c r="B309" s="80" t="s">
        <v>1582</v>
      </c>
      <c r="C309" s="92"/>
      <c r="D309" s="92"/>
    </row>
    <row r="310">
      <c r="A310" s="80">
        <v>309.0</v>
      </c>
      <c r="B310" s="80" t="s">
        <v>1580</v>
      </c>
      <c r="C310" s="92"/>
      <c r="D310" s="92"/>
    </row>
    <row r="311">
      <c r="A311" s="80">
        <v>310.0</v>
      </c>
      <c r="B311" s="80" t="s">
        <v>1582</v>
      </c>
      <c r="C311" s="92"/>
      <c r="D311" s="92"/>
    </row>
    <row r="312">
      <c r="A312" s="80">
        <v>311.0</v>
      </c>
      <c r="B312" s="80" t="s">
        <v>1580</v>
      </c>
      <c r="C312" s="92"/>
      <c r="D312" s="92"/>
    </row>
    <row r="313">
      <c r="A313" s="80">
        <v>312.0</v>
      </c>
      <c r="B313" s="80" t="s">
        <v>1582</v>
      </c>
      <c r="C313" s="92"/>
      <c r="D313" s="92"/>
    </row>
    <row r="314">
      <c r="A314" s="80">
        <v>313.0</v>
      </c>
      <c r="B314" s="80" t="s">
        <v>1580</v>
      </c>
      <c r="C314" s="92"/>
      <c r="D314" s="92"/>
    </row>
    <row r="315">
      <c r="A315" s="80">
        <v>314.0</v>
      </c>
      <c r="B315" s="80" t="s">
        <v>1582</v>
      </c>
      <c r="C315" s="92"/>
      <c r="D315" s="92"/>
    </row>
    <row r="316">
      <c r="A316" s="80">
        <v>315.0</v>
      </c>
      <c r="B316" s="80" t="s">
        <v>1580</v>
      </c>
      <c r="C316" s="92"/>
      <c r="D316" s="92"/>
    </row>
    <row r="317">
      <c r="A317" s="80">
        <v>316.0</v>
      </c>
      <c r="B317" s="80" t="s">
        <v>1582</v>
      </c>
      <c r="C317" s="92"/>
      <c r="D317" s="92"/>
    </row>
    <row r="318">
      <c r="A318" s="80">
        <v>317.0</v>
      </c>
      <c r="B318" s="80" t="s">
        <v>1580</v>
      </c>
      <c r="C318" s="92"/>
      <c r="D318" s="92"/>
    </row>
    <row r="319">
      <c r="A319" s="80">
        <v>318.0</v>
      </c>
      <c r="B319" s="80" t="s">
        <v>1582</v>
      </c>
      <c r="C319" s="92"/>
      <c r="D319" s="92"/>
    </row>
    <row r="320">
      <c r="A320" s="80">
        <v>319.0</v>
      </c>
      <c r="B320" s="80" t="s">
        <v>1580</v>
      </c>
      <c r="C320" s="92"/>
      <c r="D320" s="92"/>
    </row>
    <row r="321">
      <c r="A321" s="80">
        <v>320.0</v>
      </c>
      <c r="B321" s="80" t="s">
        <v>1582</v>
      </c>
      <c r="C321" s="92"/>
      <c r="D321" s="92"/>
    </row>
    <row r="322">
      <c r="A322" s="80">
        <v>321.0</v>
      </c>
      <c r="B322" s="80" t="s">
        <v>1580</v>
      </c>
      <c r="C322" s="92"/>
      <c r="D322" s="92"/>
    </row>
    <row r="323">
      <c r="A323" s="80">
        <v>322.0</v>
      </c>
      <c r="B323" s="80" t="s">
        <v>1582</v>
      </c>
      <c r="C323" s="92"/>
      <c r="D323" s="92"/>
    </row>
    <row r="324">
      <c r="A324" s="80">
        <v>323.0</v>
      </c>
      <c r="B324" s="80" t="s">
        <v>1580</v>
      </c>
      <c r="C324" s="92"/>
      <c r="D324" s="92"/>
    </row>
    <row r="325">
      <c r="A325" s="80">
        <v>324.0</v>
      </c>
      <c r="B325" s="80" t="s">
        <v>1582</v>
      </c>
      <c r="C325" s="92"/>
      <c r="D325" s="92"/>
    </row>
    <row r="326">
      <c r="A326" s="80">
        <v>325.0</v>
      </c>
      <c r="B326" s="80" t="s">
        <v>1580</v>
      </c>
      <c r="C326" s="92"/>
      <c r="D326" s="92"/>
    </row>
    <row r="327">
      <c r="A327" s="80">
        <v>326.0</v>
      </c>
      <c r="B327" s="80" t="s">
        <v>1582</v>
      </c>
      <c r="C327" s="92"/>
      <c r="D327" s="92"/>
    </row>
    <row r="328">
      <c r="A328" s="80">
        <v>327.0</v>
      </c>
      <c r="B328" s="80" t="s">
        <v>1580</v>
      </c>
      <c r="C328" s="92"/>
      <c r="D328" s="92"/>
    </row>
    <row r="329">
      <c r="A329" s="80">
        <v>328.0</v>
      </c>
      <c r="B329" s="80" t="s">
        <v>1582</v>
      </c>
      <c r="C329" s="92"/>
      <c r="D329" s="92"/>
    </row>
    <row r="330">
      <c r="A330" s="80">
        <v>329.0</v>
      </c>
      <c r="B330" s="80" t="s">
        <v>1580</v>
      </c>
      <c r="C330" s="92"/>
      <c r="D330" s="92"/>
    </row>
    <row r="331">
      <c r="A331" s="80">
        <v>330.0</v>
      </c>
      <c r="B331" s="80" t="s">
        <v>1582</v>
      </c>
      <c r="C331" s="92"/>
      <c r="D331" s="92"/>
    </row>
    <row r="332">
      <c r="A332" s="80">
        <v>331.0</v>
      </c>
      <c r="B332" s="80" t="s">
        <v>1580</v>
      </c>
      <c r="C332" s="92"/>
      <c r="D332" s="92"/>
    </row>
    <row r="333">
      <c r="A333" s="80">
        <v>332.0</v>
      </c>
      <c r="B333" s="80" t="s">
        <v>1582</v>
      </c>
      <c r="C333" s="92"/>
      <c r="D333" s="92"/>
    </row>
    <row r="334">
      <c r="A334" s="80">
        <v>333.0</v>
      </c>
      <c r="B334" s="80" t="s">
        <v>1580</v>
      </c>
      <c r="C334" s="92"/>
      <c r="D334" s="92"/>
    </row>
    <row r="335">
      <c r="A335" s="80">
        <v>334.0</v>
      </c>
      <c r="B335" s="80" t="s">
        <v>1582</v>
      </c>
      <c r="C335" s="92"/>
      <c r="D335" s="92"/>
    </row>
    <row r="336">
      <c r="A336" s="80">
        <v>335.0</v>
      </c>
      <c r="B336" s="80" t="s">
        <v>1580</v>
      </c>
      <c r="C336" s="92"/>
      <c r="D336" s="92"/>
    </row>
    <row r="337">
      <c r="A337" s="80">
        <v>336.0</v>
      </c>
      <c r="B337" s="80" t="s">
        <v>1582</v>
      </c>
      <c r="C337" s="92"/>
      <c r="D337" s="92"/>
    </row>
    <row r="338">
      <c r="A338" s="80">
        <v>337.0</v>
      </c>
      <c r="B338" s="80" t="s">
        <v>1580</v>
      </c>
      <c r="C338" s="92"/>
      <c r="D338" s="92"/>
    </row>
    <row r="339">
      <c r="A339" s="80">
        <v>338.0</v>
      </c>
      <c r="B339" s="80" t="s">
        <v>1582</v>
      </c>
      <c r="C339" s="92"/>
      <c r="D339" s="92"/>
    </row>
    <row r="340">
      <c r="A340" s="80">
        <v>339.0</v>
      </c>
      <c r="B340" s="80" t="s">
        <v>1580</v>
      </c>
      <c r="C340" s="92"/>
      <c r="D340" s="92"/>
    </row>
    <row r="341">
      <c r="A341" s="80">
        <v>340.0</v>
      </c>
      <c r="B341" s="80" t="s">
        <v>1582</v>
      </c>
      <c r="C341" s="92"/>
      <c r="D341" s="92"/>
    </row>
    <row r="342">
      <c r="A342" s="80">
        <v>341.0</v>
      </c>
      <c r="B342" s="80" t="s">
        <v>1580</v>
      </c>
      <c r="C342" s="92"/>
      <c r="D342" s="92"/>
    </row>
    <row r="343">
      <c r="A343" s="80">
        <v>342.0</v>
      </c>
      <c r="B343" s="80" t="s">
        <v>1582</v>
      </c>
      <c r="C343" s="92"/>
      <c r="D343" s="92"/>
    </row>
    <row r="344">
      <c r="A344" s="80">
        <v>343.0</v>
      </c>
      <c r="B344" s="80" t="s">
        <v>1580</v>
      </c>
      <c r="C344" s="92"/>
      <c r="D344" s="92"/>
    </row>
    <row r="345">
      <c r="A345" s="80">
        <v>344.0</v>
      </c>
      <c r="B345" s="80" t="s">
        <v>1582</v>
      </c>
      <c r="C345" s="92"/>
      <c r="D345" s="92"/>
    </row>
    <row r="346">
      <c r="A346" s="80">
        <v>345.0</v>
      </c>
      <c r="B346" s="80" t="s">
        <v>1580</v>
      </c>
      <c r="C346" s="92"/>
      <c r="D346" s="92"/>
    </row>
    <row r="347">
      <c r="A347" s="80">
        <v>346.0</v>
      </c>
      <c r="B347" s="80" t="s">
        <v>1582</v>
      </c>
      <c r="C347" s="92"/>
      <c r="D347" s="92"/>
    </row>
    <row r="348">
      <c r="A348" s="80">
        <v>347.0</v>
      </c>
      <c r="B348" s="80" t="s">
        <v>1580</v>
      </c>
      <c r="C348" s="92"/>
      <c r="D348" s="92"/>
    </row>
    <row r="349">
      <c r="A349" s="80">
        <v>348.0</v>
      </c>
      <c r="B349" s="80" t="s">
        <v>1582</v>
      </c>
      <c r="C349" s="92"/>
      <c r="D349" s="92"/>
    </row>
    <row r="350">
      <c r="A350" s="80">
        <v>349.0</v>
      </c>
      <c r="B350" s="80" t="s">
        <v>1580</v>
      </c>
      <c r="C350" s="92"/>
      <c r="D350" s="92"/>
    </row>
    <row r="351">
      <c r="A351" s="80">
        <v>350.0</v>
      </c>
      <c r="B351" s="80" t="s">
        <v>1582</v>
      </c>
      <c r="C351" s="92"/>
      <c r="D351" s="92"/>
    </row>
    <row r="352">
      <c r="A352" s="80">
        <v>351.0</v>
      </c>
      <c r="B352" s="80" t="s">
        <v>1580</v>
      </c>
      <c r="C352" s="92"/>
      <c r="D352" s="92"/>
    </row>
    <row r="353">
      <c r="A353" s="80">
        <v>352.0</v>
      </c>
      <c r="B353" s="80" t="s">
        <v>1582</v>
      </c>
      <c r="C353" s="92"/>
      <c r="D353" s="92"/>
    </row>
    <row r="354">
      <c r="A354" s="80">
        <v>353.0</v>
      </c>
      <c r="B354" s="80" t="s">
        <v>1580</v>
      </c>
      <c r="C354" s="92"/>
      <c r="D354" s="92"/>
    </row>
    <row r="355">
      <c r="A355" s="80">
        <v>354.0</v>
      </c>
      <c r="B355" s="80" t="s">
        <v>1582</v>
      </c>
      <c r="C355" s="92"/>
      <c r="D355" s="92"/>
    </row>
    <row r="356">
      <c r="A356" s="80">
        <v>355.0</v>
      </c>
      <c r="B356" s="80" t="s">
        <v>1580</v>
      </c>
      <c r="C356" s="92"/>
      <c r="D356" s="92"/>
    </row>
    <row r="357">
      <c r="A357" s="80">
        <v>356.0</v>
      </c>
      <c r="B357" s="80" t="s">
        <v>1582</v>
      </c>
      <c r="C357" s="92"/>
      <c r="D357" s="92"/>
    </row>
    <row r="358">
      <c r="A358" s="80">
        <v>357.0</v>
      </c>
      <c r="B358" s="80" t="s">
        <v>1580</v>
      </c>
      <c r="C358" s="92"/>
      <c r="D358" s="92"/>
    </row>
    <row r="359">
      <c r="A359" s="80">
        <v>358.0</v>
      </c>
      <c r="B359" s="80" t="s">
        <v>1582</v>
      </c>
      <c r="C359" s="92"/>
      <c r="D359" s="92"/>
    </row>
    <row r="360">
      <c r="A360" s="80">
        <v>359.0</v>
      </c>
      <c r="B360" s="80" t="s">
        <v>1580</v>
      </c>
      <c r="C360" s="92"/>
      <c r="D360" s="92"/>
    </row>
    <row r="361">
      <c r="A361" s="80">
        <v>360.0</v>
      </c>
      <c r="B361" s="80" t="s">
        <v>1582</v>
      </c>
      <c r="C361" s="92"/>
      <c r="D361" s="92"/>
    </row>
    <row r="362">
      <c r="A362" s="80">
        <v>361.0</v>
      </c>
      <c r="B362" s="80" t="s">
        <v>1580</v>
      </c>
      <c r="C362" s="92"/>
      <c r="D362" s="92"/>
    </row>
    <row r="363">
      <c r="A363" s="80">
        <v>362.0</v>
      </c>
      <c r="B363" s="80" t="s">
        <v>1582</v>
      </c>
      <c r="C363" s="92"/>
      <c r="D363" s="92"/>
    </row>
    <row r="364">
      <c r="A364" s="80">
        <v>363.0</v>
      </c>
      <c r="B364" s="80" t="s">
        <v>1580</v>
      </c>
      <c r="C364" s="92"/>
      <c r="D364" s="92"/>
    </row>
    <row r="365">
      <c r="A365" s="80">
        <v>364.0</v>
      </c>
      <c r="B365" s="80" t="s">
        <v>1582</v>
      </c>
      <c r="C365" s="92"/>
      <c r="D365" s="92"/>
    </row>
    <row r="366">
      <c r="A366" s="80">
        <v>365.0</v>
      </c>
      <c r="B366" s="80" t="s">
        <v>1580</v>
      </c>
      <c r="C366" s="92"/>
      <c r="D366" s="92"/>
    </row>
    <row r="367">
      <c r="A367" s="80">
        <v>366.0</v>
      </c>
      <c r="B367" s="80" t="s">
        <v>1582</v>
      </c>
      <c r="C367" s="92"/>
      <c r="D367" s="92"/>
    </row>
    <row r="368">
      <c r="A368" s="80">
        <v>367.0</v>
      </c>
      <c r="B368" s="80" t="s">
        <v>1580</v>
      </c>
      <c r="C368" s="92"/>
      <c r="D368" s="92"/>
    </row>
    <row r="369">
      <c r="A369" s="80">
        <v>368.0</v>
      </c>
      <c r="B369" s="80" t="s">
        <v>1582</v>
      </c>
      <c r="C369" s="92"/>
      <c r="D369" s="92"/>
    </row>
    <row r="370">
      <c r="A370" s="80">
        <v>369.0</v>
      </c>
      <c r="B370" s="80" t="s">
        <v>1580</v>
      </c>
      <c r="C370" s="92"/>
      <c r="D370" s="92"/>
    </row>
    <row r="371">
      <c r="A371" s="80">
        <v>370.0</v>
      </c>
      <c r="B371" s="80" t="s">
        <v>1582</v>
      </c>
      <c r="C371" s="92"/>
      <c r="D371" s="92"/>
    </row>
    <row r="372">
      <c r="A372" s="80">
        <v>371.0</v>
      </c>
      <c r="B372" s="80" t="s">
        <v>1580</v>
      </c>
      <c r="C372" s="92"/>
      <c r="D372" s="92"/>
    </row>
    <row r="373">
      <c r="A373" s="80">
        <v>372.0</v>
      </c>
      <c r="B373" s="80" t="s">
        <v>1582</v>
      </c>
      <c r="C373" s="92"/>
      <c r="D373" s="92"/>
    </row>
    <row r="374">
      <c r="A374" s="80">
        <v>373.0</v>
      </c>
      <c r="B374" s="80" t="s">
        <v>1580</v>
      </c>
      <c r="C374" s="92"/>
      <c r="D374" s="92"/>
    </row>
    <row r="375">
      <c r="A375" s="80">
        <v>374.0</v>
      </c>
      <c r="B375" s="80" t="s">
        <v>1582</v>
      </c>
      <c r="C375" s="92"/>
      <c r="D375" s="92"/>
    </row>
    <row r="376">
      <c r="A376" s="80">
        <v>375.0</v>
      </c>
      <c r="B376" s="80" t="s">
        <v>1580</v>
      </c>
      <c r="C376" s="92"/>
      <c r="D376" s="92"/>
    </row>
    <row r="377">
      <c r="A377" s="80">
        <v>376.0</v>
      </c>
      <c r="B377" s="80" t="s">
        <v>1582</v>
      </c>
      <c r="C377" s="92"/>
      <c r="D377" s="92"/>
    </row>
    <row r="378">
      <c r="A378" s="80">
        <v>377.0</v>
      </c>
      <c r="B378" s="80" t="s">
        <v>1580</v>
      </c>
      <c r="C378" s="92"/>
      <c r="D378" s="92"/>
    </row>
    <row r="379">
      <c r="A379" s="80">
        <v>378.0</v>
      </c>
      <c r="B379" s="80" t="s">
        <v>1582</v>
      </c>
      <c r="C379" s="92"/>
      <c r="D379" s="92"/>
    </row>
    <row r="380">
      <c r="A380" s="80">
        <v>379.0</v>
      </c>
      <c r="B380" s="80" t="s">
        <v>1580</v>
      </c>
      <c r="C380" s="92"/>
      <c r="D380" s="92"/>
    </row>
    <row r="381">
      <c r="A381" s="80">
        <v>380.0</v>
      </c>
      <c r="B381" s="80" t="s">
        <v>1582</v>
      </c>
      <c r="C381" s="92"/>
      <c r="D381" s="92"/>
    </row>
    <row r="382">
      <c r="A382" s="80">
        <v>381.0</v>
      </c>
      <c r="B382" s="80" t="s">
        <v>1580</v>
      </c>
      <c r="C382" s="92"/>
      <c r="D382" s="92"/>
    </row>
    <row r="383">
      <c r="A383" s="80">
        <v>382.0</v>
      </c>
      <c r="B383" s="80" t="s">
        <v>1582</v>
      </c>
      <c r="C383" s="92"/>
      <c r="D383" s="92"/>
    </row>
    <row r="384">
      <c r="A384" s="80">
        <v>383.0</v>
      </c>
      <c r="B384" s="80" t="s">
        <v>1580</v>
      </c>
      <c r="C384" s="92"/>
      <c r="D384" s="92"/>
    </row>
    <row r="385">
      <c r="A385" s="80">
        <v>384.0</v>
      </c>
      <c r="B385" s="80" t="s">
        <v>1582</v>
      </c>
      <c r="C385" s="92"/>
      <c r="D385" s="92"/>
    </row>
    <row r="386">
      <c r="A386" s="80">
        <v>385.0</v>
      </c>
      <c r="B386" s="80" t="s">
        <v>1580</v>
      </c>
      <c r="C386" s="92"/>
      <c r="D386" s="92"/>
    </row>
    <row r="387">
      <c r="A387" s="80">
        <v>386.0</v>
      </c>
      <c r="B387" s="80" t="s">
        <v>1582</v>
      </c>
      <c r="C387" s="92"/>
      <c r="D387" s="92"/>
    </row>
    <row r="388">
      <c r="A388" s="80">
        <v>387.0</v>
      </c>
      <c r="B388" s="80" t="s">
        <v>1580</v>
      </c>
      <c r="C388" s="92"/>
      <c r="D388" s="92"/>
    </row>
    <row r="389">
      <c r="A389" s="80">
        <v>388.0</v>
      </c>
      <c r="B389" s="80" t="s">
        <v>1582</v>
      </c>
      <c r="C389" s="92"/>
      <c r="D389" s="92"/>
    </row>
    <row r="390">
      <c r="A390" s="80">
        <v>389.0</v>
      </c>
      <c r="B390" s="80" t="s">
        <v>1580</v>
      </c>
      <c r="C390" s="92"/>
      <c r="D390" s="92"/>
    </row>
    <row r="391">
      <c r="A391" s="80">
        <v>390.0</v>
      </c>
      <c r="B391" s="80" t="s">
        <v>1582</v>
      </c>
      <c r="C391" s="92"/>
      <c r="D391" s="92"/>
    </row>
    <row r="392">
      <c r="A392" s="80">
        <v>391.0</v>
      </c>
      <c r="B392" s="80" t="s">
        <v>1580</v>
      </c>
      <c r="C392" s="92"/>
      <c r="D392" s="92"/>
    </row>
    <row r="393">
      <c r="A393" s="80">
        <v>392.0</v>
      </c>
      <c r="B393" s="80" t="s">
        <v>1582</v>
      </c>
      <c r="C393" s="92"/>
      <c r="D393" s="92"/>
    </row>
    <row r="394">
      <c r="A394" s="80">
        <v>393.0</v>
      </c>
      <c r="B394" s="80" t="s">
        <v>1580</v>
      </c>
      <c r="C394" s="92"/>
      <c r="D394" s="92"/>
    </row>
    <row r="395">
      <c r="A395" s="80">
        <v>394.0</v>
      </c>
      <c r="B395" s="80" t="s">
        <v>1582</v>
      </c>
      <c r="C395" s="92"/>
      <c r="D395" s="92"/>
    </row>
    <row r="396">
      <c r="A396" s="80">
        <v>395.0</v>
      </c>
      <c r="B396" s="80" t="s">
        <v>1580</v>
      </c>
      <c r="C396" s="92"/>
      <c r="D396" s="92"/>
    </row>
    <row r="397">
      <c r="A397" s="80">
        <v>396.0</v>
      </c>
      <c r="B397" s="80" t="s">
        <v>1582</v>
      </c>
      <c r="C397" s="92"/>
      <c r="D397" s="92"/>
    </row>
    <row r="398">
      <c r="A398" s="80">
        <v>397.0</v>
      </c>
      <c r="B398" s="80" t="s">
        <v>1580</v>
      </c>
      <c r="C398" s="92"/>
      <c r="D398" s="92"/>
    </row>
    <row r="399">
      <c r="A399" s="80">
        <v>398.0</v>
      </c>
      <c r="B399" s="80" t="s">
        <v>1582</v>
      </c>
      <c r="C399" s="92"/>
      <c r="D399" s="92"/>
    </row>
    <row r="400">
      <c r="A400" s="80">
        <v>399.0</v>
      </c>
      <c r="B400" s="80" t="s">
        <v>1580</v>
      </c>
      <c r="C400" s="92"/>
      <c r="D400" s="92"/>
    </row>
    <row r="401">
      <c r="A401" s="80">
        <v>400.0</v>
      </c>
      <c r="B401" s="80" t="s">
        <v>1582</v>
      </c>
      <c r="C401" s="92"/>
      <c r="D401" s="92"/>
    </row>
    <row r="402">
      <c r="A402" s="80">
        <v>401.0</v>
      </c>
      <c r="B402" s="80" t="s">
        <v>1580</v>
      </c>
      <c r="C402" s="92"/>
      <c r="D402" s="92"/>
    </row>
    <row r="403">
      <c r="A403" s="80">
        <v>402.0</v>
      </c>
      <c r="B403" s="80" t="s">
        <v>1582</v>
      </c>
      <c r="C403" s="92"/>
      <c r="D403" s="92"/>
    </row>
    <row r="404">
      <c r="A404" s="80">
        <v>403.0</v>
      </c>
      <c r="B404" s="80" t="s">
        <v>1580</v>
      </c>
      <c r="C404" s="92"/>
      <c r="D404" s="92"/>
    </row>
    <row r="405">
      <c r="A405" s="80">
        <v>404.0</v>
      </c>
      <c r="B405" s="80" t="s">
        <v>1582</v>
      </c>
      <c r="C405" s="92"/>
      <c r="D405" s="92"/>
    </row>
    <row r="406">
      <c r="A406" s="80">
        <v>405.0</v>
      </c>
      <c r="B406" s="80" t="s">
        <v>1580</v>
      </c>
      <c r="C406" s="92"/>
      <c r="D406" s="92"/>
    </row>
    <row r="407">
      <c r="A407" s="80">
        <v>406.0</v>
      </c>
      <c r="B407" s="80" t="s">
        <v>1582</v>
      </c>
      <c r="C407" s="92"/>
      <c r="D407" s="92"/>
    </row>
    <row r="408">
      <c r="A408" s="80">
        <v>407.0</v>
      </c>
      <c r="B408" s="80" t="s">
        <v>1580</v>
      </c>
      <c r="C408" s="92"/>
      <c r="D408" s="92"/>
    </row>
    <row r="409">
      <c r="A409" s="80">
        <v>408.0</v>
      </c>
      <c r="B409" s="80" t="s">
        <v>1582</v>
      </c>
      <c r="C409" s="92"/>
      <c r="D409" s="92"/>
    </row>
    <row r="410">
      <c r="A410" s="80">
        <v>409.0</v>
      </c>
      <c r="B410" s="80" t="s">
        <v>1580</v>
      </c>
      <c r="C410" s="92"/>
      <c r="D410" s="92"/>
    </row>
    <row r="411">
      <c r="A411" s="80">
        <v>410.0</v>
      </c>
      <c r="B411" s="80" t="s">
        <v>1582</v>
      </c>
      <c r="C411" s="92"/>
      <c r="D411" s="92"/>
    </row>
    <row r="412">
      <c r="A412" s="80">
        <v>411.0</v>
      </c>
      <c r="B412" s="80" t="s">
        <v>1580</v>
      </c>
      <c r="C412" s="92"/>
      <c r="D412" s="92"/>
    </row>
    <row r="413">
      <c r="A413" s="80">
        <v>412.0</v>
      </c>
      <c r="B413" s="80" t="s">
        <v>1582</v>
      </c>
      <c r="C413" s="92"/>
      <c r="D413" s="92"/>
    </row>
    <row r="414">
      <c r="A414" s="80">
        <v>413.0</v>
      </c>
      <c r="B414" s="80" t="s">
        <v>1580</v>
      </c>
      <c r="C414" s="92"/>
      <c r="D414" s="92"/>
    </row>
    <row r="415">
      <c r="A415" s="80">
        <v>414.0</v>
      </c>
      <c r="B415" s="80" t="s">
        <v>1582</v>
      </c>
      <c r="C415" s="92"/>
      <c r="D415" s="92"/>
    </row>
    <row r="416">
      <c r="A416" s="80">
        <v>415.0</v>
      </c>
      <c r="B416" s="80" t="s">
        <v>1580</v>
      </c>
      <c r="C416" s="92"/>
      <c r="D416" s="92"/>
    </row>
    <row r="417">
      <c r="A417" s="80">
        <v>416.0</v>
      </c>
      <c r="B417" s="80" t="s">
        <v>1582</v>
      </c>
      <c r="C417" s="92"/>
      <c r="D417" s="92"/>
    </row>
    <row r="418">
      <c r="A418" s="80">
        <v>417.0</v>
      </c>
      <c r="B418" s="80" t="s">
        <v>1580</v>
      </c>
      <c r="C418" s="92"/>
      <c r="D418" s="92"/>
    </row>
    <row r="419">
      <c r="A419" s="80">
        <v>418.0</v>
      </c>
      <c r="B419" s="80" t="s">
        <v>1582</v>
      </c>
      <c r="C419" s="92"/>
      <c r="D419" s="92"/>
    </row>
    <row r="420">
      <c r="A420" s="80">
        <v>419.0</v>
      </c>
      <c r="B420" s="80" t="s">
        <v>1580</v>
      </c>
      <c r="C420" s="92"/>
      <c r="D420" s="92"/>
    </row>
    <row r="421">
      <c r="A421" s="80">
        <v>420.0</v>
      </c>
      <c r="B421" s="80" t="s">
        <v>1582</v>
      </c>
      <c r="C421" s="92"/>
      <c r="D421" s="92"/>
    </row>
    <row r="422">
      <c r="A422" s="80">
        <v>421.0</v>
      </c>
      <c r="B422" s="80" t="s">
        <v>1580</v>
      </c>
      <c r="C422" s="92"/>
      <c r="D422" s="92"/>
    </row>
    <row r="423">
      <c r="A423" s="80">
        <v>422.0</v>
      </c>
      <c r="B423" s="80" t="s">
        <v>1582</v>
      </c>
      <c r="C423" s="92"/>
      <c r="D423" s="92"/>
    </row>
    <row r="424">
      <c r="A424" s="80">
        <v>423.0</v>
      </c>
      <c r="B424" s="80" t="s">
        <v>1580</v>
      </c>
      <c r="C424" s="92"/>
      <c r="D424" s="92"/>
    </row>
    <row r="425">
      <c r="A425" s="80">
        <v>424.0</v>
      </c>
      <c r="B425" s="80" t="s">
        <v>1582</v>
      </c>
      <c r="C425" s="92"/>
      <c r="D425" s="92"/>
    </row>
    <row r="426">
      <c r="A426" s="80">
        <v>425.0</v>
      </c>
      <c r="B426" s="80" t="s">
        <v>1580</v>
      </c>
      <c r="C426" s="92"/>
      <c r="D426" s="92"/>
    </row>
    <row r="427">
      <c r="A427" s="80">
        <v>426.0</v>
      </c>
      <c r="B427" s="80" t="s">
        <v>1582</v>
      </c>
      <c r="C427" s="92"/>
      <c r="D427" s="92"/>
    </row>
    <row r="428">
      <c r="A428" s="80">
        <v>427.0</v>
      </c>
      <c r="B428" s="80" t="s">
        <v>1580</v>
      </c>
      <c r="C428" s="92"/>
      <c r="D428" s="92"/>
    </row>
    <row r="429">
      <c r="A429" s="80">
        <v>428.0</v>
      </c>
      <c r="B429" s="80" t="s">
        <v>1582</v>
      </c>
      <c r="C429" s="92"/>
      <c r="D429" s="92"/>
    </row>
    <row r="430">
      <c r="A430" s="80">
        <v>429.0</v>
      </c>
      <c r="B430" s="80" t="s">
        <v>1580</v>
      </c>
      <c r="C430" s="92"/>
      <c r="D430" s="92"/>
    </row>
    <row r="431">
      <c r="A431" s="80">
        <v>430.0</v>
      </c>
      <c r="B431" s="80" t="s">
        <v>1582</v>
      </c>
      <c r="C431" s="92"/>
      <c r="D431" s="92"/>
    </row>
    <row r="432">
      <c r="A432" s="80">
        <v>431.0</v>
      </c>
      <c r="B432" s="80" t="s">
        <v>1580</v>
      </c>
      <c r="C432" s="92"/>
      <c r="D432" s="92"/>
    </row>
    <row r="433">
      <c r="A433" s="80">
        <v>432.0</v>
      </c>
      <c r="B433" s="80" t="s">
        <v>1582</v>
      </c>
      <c r="C433" s="92"/>
      <c r="D433" s="92"/>
    </row>
    <row r="434">
      <c r="A434" s="80">
        <v>433.0</v>
      </c>
      <c r="B434" s="80" t="s">
        <v>1580</v>
      </c>
      <c r="C434" s="92"/>
      <c r="D434" s="92"/>
    </row>
    <row r="435">
      <c r="A435" s="80">
        <v>434.0</v>
      </c>
      <c r="B435" s="80" t="s">
        <v>1582</v>
      </c>
      <c r="C435" s="92"/>
      <c r="D435" s="92"/>
    </row>
    <row r="436">
      <c r="A436" s="80">
        <v>435.0</v>
      </c>
      <c r="B436" s="80" t="s">
        <v>1580</v>
      </c>
      <c r="C436" s="92"/>
      <c r="D436" s="92"/>
    </row>
    <row r="437">
      <c r="A437" s="80">
        <v>436.0</v>
      </c>
      <c r="B437" s="80" t="s">
        <v>1582</v>
      </c>
      <c r="C437" s="92"/>
      <c r="D437" s="92"/>
    </row>
    <row r="438">
      <c r="A438" s="80">
        <v>437.0</v>
      </c>
      <c r="B438" s="80" t="s">
        <v>1580</v>
      </c>
      <c r="C438" s="92"/>
      <c r="D438" s="92"/>
    </row>
    <row r="439">
      <c r="A439" s="80">
        <v>438.0</v>
      </c>
      <c r="B439" s="80" t="s">
        <v>1582</v>
      </c>
      <c r="C439" s="92"/>
      <c r="D439" s="92"/>
    </row>
    <row r="440">
      <c r="A440" s="80">
        <v>439.0</v>
      </c>
      <c r="B440" s="80" t="s">
        <v>1580</v>
      </c>
      <c r="C440" s="92"/>
      <c r="D440" s="92"/>
    </row>
    <row r="441">
      <c r="A441" s="80">
        <v>440.0</v>
      </c>
      <c r="B441" s="80" t="s">
        <v>1582</v>
      </c>
      <c r="C441" s="92"/>
      <c r="D441" s="92"/>
    </row>
    <row r="442">
      <c r="A442" s="80">
        <v>441.0</v>
      </c>
      <c r="B442" s="80" t="s">
        <v>1580</v>
      </c>
      <c r="C442" s="92"/>
      <c r="D442" s="92"/>
    </row>
    <row r="443">
      <c r="A443" s="80">
        <v>442.0</v>
      </c>
      <c r="B443" s="80" t="s">
        <v>1582</v>
      </c>
      <c r="C443" s="92"/>
      <c r="D443" s="92"/>
    </row>
    <row r="444">
      <c r="A444" s="80">
        <v>443.0</v>
      </c>
      <c r="B444" s="80" t="s">
        <v>1580</v>
      </c>
      <c r="C444" s="92"/>
      <c r="D444" s="92"/>
    </row>
    <row r="445">
      <c r="A445" s="80">
        <v>444.0</v>
      </c>
      <c r="B445" s="80" t="s">
        <v>1582</v>
      </c>
      <c r="C445" s="92"/>
      <c r="D445" s="92"/>
    </row>
    <row r="446">
      <c r="A446" s="80">
        <v>445.0</v>
      </c>
      <c r="B446" s="80" t="s">
        <v>1580</v>
      </c>
      <c r="C446" s="92"/>
      <c r="D446" s="92"/>
    </row>
    <row r="447">
      <c r="A447" s="80">
        <v>446.0</v>
      </c>
      <c r="B447" s="80" t="s">
        <v>1582</v>
      </c>
      <c r="C447" s="92"/>
      <c r="D447" s="92"/>
    </row>
    <row r="448">
      <c r="A448" s="80">
        <v>447.0</v>
      </c>
      <c r="B448" s="80" t="s">
        <v>1580</v>
      </c>
      <c r="C448" s="92"/>
      <c r="D448" s="92"/>
    </row>
    <row r="449">
      <c r="A449" s="80">
        <v>448.0</v>
      </c>
      <c r="B449" s="80" t="s">
        <v>1582</v>
      </c>
      <c r="C449" s="92"/>
      <c r="D449" s="92"/>
    </row>
    <row r="450">
      <c r="A450" s="80">
        <v>449.0</v>
      </c>
      <c r="B450" s="80" t="s">
        <v>1580</v>
      </c>
      <c r="C450" s="92"/>
      <c r="D450" s="92"/>
    </row>
    <row r="451">
      <c r="A451" s="80">
        <v>450.0</v>
      </c>
      <c r="B451" s="80" t="s">
        <v>1582</v>
      </c>
      <c r="C451" s="92"/>
      <c r="D451" s="92"/>
    </row>
    <row r="452">
      <c r="A452" s="80">
        <v>451.0</v>
      </c>
      <c r="B452" s="80" t="s">
        <v>1580</v>
      </c>
      <c r="C452" s="92"/>
      <c r="D452" s="92"/>
    </row>
    <row r="453">
      <c r="A453" s="80">
        <v>452.0</v>
      </c>
      <c r="B453" s="80" t="s">
        <v>1582</v>
      </c>
      <c r="C453" s="92"/>
      <c r="D453" s="92"/>
    </row>
    <row r="454">
      <c r="A454" s="80">
        <v>453.0</v>
      </c>
      <c r="B454" s="80" t="s">
        <v>1580</v>
      </c>
      <c r="C454" s="92"/>
      <c r="D454" s="92"/>
    </row>
    <row r="455">
      <c r="A455" s="80">
        <v>454.0</v>
      </c>
      <c r="B455" s="80" t="s">
        <v>1582</v>
      </c>
      <c r="C455" s="92"/>
      <c r="D455" s="92"/>
    </row>
    <row r="456">
      <c r="A456" s="80">
        <v>455.0</v>
      </c>
      <c r="B456" s="80" t="s">
        <v>1580</v>
      </c>
      <c r="C456" s="92"/>
      <c r="D456" s="92"/>
    </row>
    <row r="457">
      <c r="A457" s="80">
        <v>456.0</v>
      </c>
      <c r="B457" s="80" t="s">
        <v>1582</v>
      </c>
      <c r="C457" s="92"/>
      <c r="D457" s="92"/>
    </row>
    <row r="458">
      <c r="A458" s="80">
        <v>457.0</v>
      </c>
      <c r="B458" s="80" t="s">
        <v>1580</v>
      </c>
      <c r="C458" s="92"/>
      <c r="D458" s="92"/>
    </row>
    <row r="459">
      <c r="A459" s="80">
        <v>458.0</v>
      </c>
      <c r="B459" s="80" t="s">
        <v>1582</v>
      </c>
      <c r="C459" s="92"/>
      <c r="D459" s="92"/>
    </row>
    <row r="460">
      <c r="A460" s="80">
        <v>459.0</v>
      </c>
      <c r="B460" s="80" t="s">
        <v>1580</v>
      </c>
      <c r="C460" s="92"/>
      <c r="D460" s="92"/>
    </row>
    <row r="461">
      <c r="A461" s="80">
        <v>460.0</v>
      </c>
      <c r="B461" s="80" t="s">
        <v>1582</v>
      </c>
      <c r="C461" s="92"/>
      <c r="D461" s="92"/>
    </row>
    <row r="462">
      <c r="A462" s="80">
        <v>461.0</v>
      </c>
      <c r="B462" s="80" t="s">
        <v>1580</v>
      </c>
      <c r="C462" s="92"/>
      <c r="D462" s="92"/>
    </row>
    <row r="463">
      <c r="A463" s="80">
        <v>462.0</v>
      </c>
      <c r="B463" s="80" t="s">
        <v>1582</v>
      </c>
      <c r="C463" s="92"/>
      <c r="D463" s="92"/>
    </row>
    <row r="464">
      <c r="A464" s="80">
        <v>463.0</v>
      </c>
      <c r="B464" s="80" t="s">
        <v>1580</v>
      </c>
      <c r="C464" s="92"/>
      <c r="D464" s="92"/>
    </row>
    <row r="465">
      <c r="A465" s="80">
        <v>464.0</v>
      </c>
      <c r="B465" s="80" t="s">
        <v>1582</v>
      </c>
      <c r="C465" s="92"/>
      <c r="D465" s="92"/>
    </row>
    <row r="466">
      <c r="A466" s="80">
        <v>465.0</v>
      </c>
      <c r="B466" s="80" t="s">
        <v>1580</v>
      </c>
      <c r="C466" s="92"/>
      <c r="D466" s="92"/>
    </row>
    <row r="467">
      <c r="A467" s="80">
        <v>466.0</v>
      </c>
      <c r="B467" s="80" t="s">
        <v>1582</v>
      </c>
      <c r="C467" s="92"/>
      <c r="D467" s="92"/>
    </row>
    <row r="468">
      <c r="A468" s="80">
        <v>467.0</v>
      </c>
      <c r="B468" s="80" t="s">
        <v>1580</v>
      </c>
      <c r="C468" s="92"/>
      <c r="D468" s="92"/>
    </row>
    <row r="469">
      <c r="A469" s="80">
        <v>468.0</v>
      </c>
      <c r="B469" s="80" t="s">
        <v>1582</v>
      </c>
      <c r="C469" s="92"/>
      <c r="D469" s="92"/>
    </row>
    <row r="470">
      <c r="A470" s="80">
        <v>469.0</v>
      </c>
      <c r="B470" s="80" t="s">
        <v>1580</v>
      </c>
      <c r="C470" s="92"/>
      <c r="D470" s="92"/>
    </row>
    <row r="471">
      <c r="A471" s="80">
        <v>470.0</v>
      </c>
      <c r="B471" s="80" t="s">
        <v>1582</v>
      </c>
      <c r="C471" s="92"/>
      <c r="D471" s="92"/>
    </row>
    <row r="472">
      <c r="A472" s="80">
        <v>471.0</v>
      </c>
      <c r="B472" s="80" t="s">
        <v>1580</v>
      </c>
      <c r="C472" s="92"/>
      <c r="D472" s="92"/>
    </row>
    <row r="473">
      <c r="A473" s="80">
        <v>472.0</v>
      </c>
      <c r="B473" s="80" t="s">
        <v>1582</v>
      </c>
      <c r="C473" s="92"/>
      <c r="D473" s="92"/>
    </row>
    <row r="474">
      <c r="A474" s="80">
        <v>473.0</v>
      </c>
      <c r="B474" s="80" t="s">
        <v>1580</v>
      </c>
      <c r="C474" s="92"/>
      <c r="D474" s="92"/>
    </row>
    <row r="475">
      <c r="A475" s="80">
        <v>474.0</v>
      </c>
      <c r="B475" s="80" t="s">
        <v>1582</v>
      </c>
      <c r="C475" s="92"/>
      <c r="D475" s="92"/>
    </row>
    <row r="476">
      <c r="A476" s="80">
        <v>475.0</v>
      </c>
      <c r="B476" s="80" t="s">
        <v>1580</v>
      </c>
      <c r="C476" s="92"/>
      <c r="D476" s="92"/>
    </row>
    <row r="477">
      <c r="A477" s="80">
        <v>476.0</v>
      </c>
      <c r="B477" s="80" t="s">
        <v>1582</v>
      </c>
      <c r="C477" s="92"/>
      <c r="D477" s="92"/>
    </row>
    <row r="478">
      <c r="A478" s="80">
        <v>477.0</v>
      </c>
      <c r="B478" s="80" t="s">
        <v>1580</v>
      </c>
      <c r="C478" s="92"/>
      <c r="D478" s="92"/>
    </row>
    <row r="479">
      <c r="A479" s="80">
        <v>478.0</v>
      </c>
      <c r="B479" s="80" t="s">
        <v>1582</v>
      </c>
      <c r="C479" s="92"/>
      <c r="D479" s="92"/>
    </row>
    <row r="480">
      <c r="A480" s="80">
        <v>479.0</v>
      </c>
      <c r="B480" s="80" t="s">
        <v>1580</v>
      </c>
      <c r="C480" s="92"/>
      <c r="D480" s="92"/>
    </row>
    <row r="481">
      <c r="A481" s="80">
        <v>480.0</v>
      </c>
      <c r="B481" s="80" t="s">
        <v>1582</v>
      </c>
      <c r="C481" s="92"/>
      <c r="D481" s="92"/>
    </row>
    <row r="482">
      <c r="A482" s="80">
        <v>481.0</v>
      </c>
      <c r="B482" s="80" t="s">
        <v>1580</v>
      </c>
      <c r="C482" s="92"/>
      <c r="D482" s="92"/>
    </row>
    <row r="483">
      <c r="A483" s="80">
        <v>482.0</v>
      </c>
      <c r="B483" s="80" t="s">
        <v>1582</v>
      </c>
      <c r="C483" s="92"/>
      <c r="D483" s="92"/>
    </row>
    <row r="484">
      <c r="A484" s="80">
        <v>483.0</v>
      </c>
      <c r="B484" s="80" t="s">
        <v>1580</v>
      </c>
      <c r="C484" s="92"/>
      <c r="D484" s="92"/>
    </row>
    <row r="485">
      <c r="A485" s="80">
        <v>484.0</v>
      </c>
      <c r="B485" s="80" t="s">
        <v>1582</v>
      </c>
      <c r="C485" s="92"/>
      <c r="D485" s="92"/>
    </row>
    <row r="486">
      <c r="A486" s="80">
        <v>485.0</v>
      </c>
      <c r="B486" s="80" t="s">
        <v>1580</v>
      </c>
      <c r="C486" s="92"/>
      <c r="D486" s="92"/>
    </row>
    <row r="487">
      <c r="A487" s="80">
        <v>486.0</v>
      </c>
      <c r="B487" s="80" t="s">
        <v>1582</v>
      </c>
      <c r="C487" s="92"/>
      <c r="D487" s="92"/>
    </row>
    <row r="488">
      <c r="A488" s="80">
        <v>487.0</v>
      </c>
      <c r="B488" s="80" t="s">
        <v>1580</v>
      </c>
      <c r="C488" s="92"/>
      <c r="D488" s="92"/>
    </row>
    <row r="489">
      <c r="A489" s="80">
        <v>488.0</v>
      </c>
      <c r="B489" s="80" t="s">
        <v>1582</v>
      </c>
      <c r="C489" s="92"/>
      <c r="D489" s="92"/>
    </row>
    <row r="490">
      <c r="A490" s="80">
        <v>489.0</v>
      </c>
      <c r="B490" s="80" t="s">
        <v>1580</v>
      </c>
      <c r="C490" s="92"/>
      <c r="D490" s="92"/>
    </row>
    <row r="491">
      <c r="A491" s="80">
        <v>490.0</v>
      </c>
      <c r="B491" s="80" t="s">
        <v>1582</v>
      </c>
      <c r="C491" s="92"/>
      <c r="D491" s="92"/>
    </row>
    <row r="492">
      <c r="A492" s="80">
        <v>491.0</v>
      </c>
      <c r="B492" s="80" t="s">
        <v>1580</v>
      </c>
      <c r="C492" s="92"/>
      <c r="D492" s="92"/>
    </row>
    <row r="493">
      <c r="A493" s="80">
        <v>492.0</v>
      </c>
      <c r="B493" s="80" t="s">
        <v>1582</v>
      </c>
      <c r="C493" s="92"/>
      <c r="D493" s="92"/>
    </row>
    <row r="494">
      <c r="A494" s="80">
        <v>493.0</v>
      </c>
      <c r="B494" s="80" t="s">
        <v>1580</v>
      </c>
      <c r="C494" s="92"/>
      <c r="D494" s="92"/>
    </row>
    <row r="495">
      <c r="A495" s="80">
        <v>494.0</v>
      </c>
      <c r="B495" s="80" t="s">
        <v>1582</v>
      </c>
      <c r="C495" s="92"/>
      <c r="D495" s="92"/>
    </row>
    <row r="496">
      <c r="A496" s="80">
        <v>495.0</v>
      </c>
      <c r="B496" s="80" t="s">
        <v>1580</v>
      </c>
      <c r="C496" s="92"/>
      <c r="D496" s="92"/>
    </row>
    <row r="497">
      <c r="A497" s="80">
        <v>496.0</v>
      </c>
      <c r="B497" s="80" t="s">
        <v>1582</v>
      </c>
      <c r="C497" s="92"/>
      <c r="D497" s="92"/>
    </row>
    <row r="498">
      <c r="A498" s="80">
        <v>497.0</v>
      </c>
      <c r="B498" s="80" t="s">
        <v>1580</v>
      </c>
      <c r="C498" s="92"/>
      <c r="D498" s="92"/>
    </row>
    <row r="499">
      <c r="A499" s="80">
        <v>498.0</v>
      </c>
      <c r="B499" s="80" t="s">
        <v>1582</v>
      </c>
      <c r="C499" s="92"/>
      <c r="D499" s="92"/>
    </row>
    <row r="500">
      <c r="A500" s="80">
        <v>499.0</v>
      </c>
      <c r="B500" s="80" t="s">
        <v>1580</v>
      </c>
      <c r="C500" s="92"/>
      <c r="D500" s="92"/>
    </row>
    <row r="501">
      <c r="A501" s="80">
        <v>500.0</v>
      </c>
      <c r="B501" s="80" t="s">
        <v>1582</v>
      </c>
      <c r="C501" s="92"/>
      <c r="D501" s="92"/>
    </row>
    <row r="502">
      <c r="A502" s="80">
        <v>501.0</v>
      </c>
      <c r="B502" s="80" t="s">
        <v>1580</v>
      </c>
      <c r="C502" s="92"/>
      <c r="D502" s="92"/>
    </row>
    <row r="503">
      <c r="A503" s="80">
        <v>502.0</v>
      </c>
      <c r="B503" s="80" t="s">
        <v>1582</v>
      </c>
      <c r="C503" s="92"/>
      <c r="D503" s="92"/>
    </row>
    <row r="504">
      <c r="A504" s="80">
        <v>503.0</v>
      </c>
      <c r="B504" s="80" t="s">
        <v>1580</v>
      </c>
      <c r="C504" s="92"/>
      <c r="D504" s="92"/>
    </row>
    <row r="505">
      <c r="A505" s="80">
        <v>504.0</v>
      </c>
      <c r="B505" s="80" t="s">
        <v>1582</v>
      </c>
      <c r="C505" s="92"/>
      <c r="D505" s="92"/>
    </row>
    <row r="506">
      <c r="A506" s="80">
        <v>505.0</v>
      </c>
      <c r="B506" s="80" t="s">
        <v>1580</v>
      </c>
      <c r="C506" s="92"/>
      <c r="D506" s="92"/>
    </row>
    <row r="507">
      <c r="A507" s="80">
        <v>506.0</v>
      </c>
      <c r="B507" s="80" t="s">
        <v>1582</v>
      </c>
      <c r="C507" s="92"/>
      <c r="D507" s="92"/>
    </row>
    <row r="508">
      <c r="A508" s="80">
        <v>507.0</v>
      </c>
      <c r="B508" s="80" t="s">
        <v>1580</v>
      </c>
      <c r="C508" s="92"/>
      <c r="D508" s="92"/>
    </row>
    <row r="509">
      <c r="A509" s="80">
        <v>508.0</v>
      </c>
      <c r="B509" s="80" t="s">
        <v>1582</v>
      </c>
      <c r="C509" s="92"/>
      <c r="D509" s="92"/>
    </row>
    <row r="510">
      <c r="A510" s="80">
        <v>509.0</v>
      </c>
      <c r="B510" s="80" t="s">
        <v>1580</v>
      </c>
      <c r="C510" s="92"/>
      <c r="D510" s="92"/>
    </row>
    <row r="511">
      <c r="A511" s="80">
        <v>510.0</v>
      </c>
      <c r="B511" s="80" t="s">
        <v>1582</v>
      </c>
      <c r="C511" s="92"/>
      <c r="D511" s="92"/>
    </row>
    <row r="512">
      <c r="A512" s="80">
        <v>511.0</v>
      </c>
      <c r="B512" s="80" t="s">
        <v>1580</v>
      </c>
      <c r="C512" s="92"/>
      <c r="D512" s="92"/>
    </row>
    <row r="513">
      <c r="A513" s="80">
        <v>512.0</v>
      </c>
      <c r="B513" s="80" t="s">
        <v>1582</v>
      </c>
      <c r="C513" s="92"/>
      <c r="D513" s="92"/>
    </row>
    <row r="514">
      <c r="A514" s="80">
        <v>513.0</v>
      </c>
      <c r="B514" s="80" t="s">
        <v>1580</v>
      </c>
      <c r="C514" s="92"/>
      <c r="D514" s="92"/>
    </row>
    <row r="515">
      <c r="A515" s="80">
        <v>514.0</v>
      </c>
      <c r="B515" s="80" t="s">
        <v>1582</v>
      </c>
      <c r="C515" s="92"/>
      <c r="D515" s="92"/>
    </row>
    <row r="516">
      <c r="A516" s="80">
        <v>515.0</v>
      </c>
      <c r="B516" s="80" t="s">
        <v>1580</v>
      </c>
      <c r="C516" s="92"/>
      <c r="D516" s="92"/>
    </row>
    <row r="517">
      <c r="A517" s="80">
        <v>516.0</v>
      </c>
      <c r="B517" s="80" t="s">
        <v>1582</v>
      </c>
      <c r="C517" s="92"/>
      <c r="D517" s="92"/>
    </row>
    <row r="518">
      <c r="A518" s="80">
        <v>517.0</v>
      </c>
      <c r="B518" s="80" t="s">
        <v>1580</v>
      </c>
      <c r="C518" s="92"/>
      <c r="D518" s="92"/>
    </row>
    <row r="519">
      <c r="A519" s="80">
        <v>518.0</v>
      </c>
      <c r="B519" s="80" t="s">
        <v>1582</v>
      </c>
      <c r="C519" s="92"/>
      <c r="D519" s="92"/>
    </row>
    <row r="520">
      <c r="A520" s="80">
        <v>519.0</v>
      </c>
      <c r="B520" s="80" t="s">
        <v>1580</v>
      </c>
      <c r="C520" s="92"/>
      <c r="D520" s="92"/>
    </row>
    <row r="521">
      <c r="A521" s="80">
        <v>520.0</v>
      </c>
      <c r="B521" s="80" t="s">
        <v>1582</v>
      </c>
      <c r="C521" s="92"/>
      <c r="D521" s="92"/>
    </row>
    <row r="522">
      <c r="A522" s="80">
        <v>521.0</v>
      </c>
      <c r="B522" s="80" t="s">
        <v>1580</v>
      </c>
      <c r="C522" s="92"/>
      <c r="D522" s="92"/>
    </row>
    <row r="523">
      <c r="A523" s="80">
        <v>522.0</v>
      </c>
      <c r="B523" s="80" t="s">
        <v>1582</v>
      </c>
      <c r="C523" s="92"/>
      <c r="D523" s="92"/>
    </row>
    <row r="524">
      <c r="A524" s="80">
        <v>523.0</v>
      </c>
      <c r="B524" s="80" t="s">
        <v>1580</v>
      </c>
      <c r="C524" s="92"/>
      <c r="D524" s="92"/>
    </row>
    <row r="525">
      <c r="A525" s="80">
        <v>524.0</v>
      </c>
      <c r="B525" s="80" t="s">
        <v>1582</v>
      </c>
      <c r="C525" s="92"/>
      <c r="D525" s="92"/>
    </row>
    <row r="526">
      <c r="A526" s="80">
        <v>525.0</v>
      </c>
      <c r="B526" s="80" t="s">
        <v>1580</v>
      </c>
      <c r="C526" s="92"/>
      <c r="D526" s="92"/>
    </row>
    <row r="527">
      <c r="A527" s="80">
        <v>526.0</v>
      </c>
      <c r="B527" s="80" t="s">
        <v>1582</v>
      </c>
      <c r="C527" s="92"/>
      <c r="D527" s="92"/>
    </row>
    <row r="528">
      <c r="A528" s="80">
        <v>527.0</v>
      </c>
      <c r="B528" s="80" t="s">
        <v>1580</v>
      </c>
      <c r="C528" s="92"/>
      <c r="D528" s="92"/>
    </row>
    <row r="529">
      <c r="A529" s="80">
        <v>528.0</v>
      </c>
      <c r="B529" s="80" t="s">
        <v>1582</v>
      </c>
      <c r="C529" s="92"/>
      <c r="D529" s="92"/>
    </row>
    <row r="530">
      <c r="A530" s="80">
        <v>529.0</v>
      </c>
      <c r="B530" s="80" t="s">
        <v>1580</v>
      </c>
      <c r="C530" s="92"/>
      <c r="D530" s="92"/>
    </row>
    <row r="531">
      <c r="A531" s="80">
        <v>530.0</v>
      </c>
      <c r="B531" s="80" t="s">
        <v>1582</v>
      </c>
      <c r="C531" s="92"/>
      <c r="D531" s="92"/>
    </row>
    <row r="532">
      <c r="A532" s="80">
        <v>531.0</v>
      </c>
      <c r="B532" s="80" t="s">
        <v>1580</v>
      </c>
      <c r="C532" s="92"/>
      <c r="D532" s="92"/>
    </row>
    <row r="533">
      <c r="A533" s="80">
        <v>532.0</v>
      </c>
      <c r="B533" s="80" t="s">
        <v>1582</v>
      </c>
      <c r="C533" s="92"/>
      <c r="D533" s="92"/>
    </row>
    <row r="534">
      <c r="A534" s="80">
        <v>533.0</v>
      </c>
      <c r="B534" s="80" t="s">
        <v>1580</v>
      </c>
      <c r="C534" s="92"/>
      <c r="D534" s="92"/>
    </row>
    <row r="535">
      <c r="A535" s="80">
        <v>534.0</v>
      </c>
      <c r="B535" s="80" t="s">
        <v>1582</v>
      </c>
      <c r="C535" s="92"/>
      <c r="D535" s="92"/>
    </row>
    <row r="536">
      <c r="A536" s="80">
        <v>535.0</v>
      </c>
      <c r="B536" s="80" t="s">
        <v>1580</v>
      </c>
      <c r="C536" s="92"/>
      <c r="D536" s="92"/>
    </row>
    <row r="537">
      <c r="A537" s="80">
        <v>536.0</v>
      </c>
      <c r="B537" s="80" t="s">
        <v>1582</v>
      </c>
      <c r="C537" s="92"/>
      <c r="D537" s="92"/>
    </row>
    <row r="538">
      <c r="A538" s="80">
        <v>537.0</v>
      </c>
      <c r="B538" s="80" t="s">
        <v>1580</v>
      </c>
      <c r="C538" s="92"/>
      <c r="D538" s="92"/>
    </row>
    <row r="539">
      <c r="A539" s="80">
        <v>538.0</v>
      </c>
      <c r="B539" s="80" t="s">
        <v>1582</v>
      </c>
      <c r="C539" s="92"/>
      <c r="D539" s="92"/>
    </row>
    <row r="540">
      <c r="A540" s="80">
        <v>539.0</v>
      </c>
      <c r="B540" s="80" t="s">
        <v>1580</v>
      </c>
      <c r="C540" s="92"/>
      <c r="D540" s="92"/>
    </row>
    <row r="541">
      <c r="A541" s="80">
        <v>540.0</v>
      </c>
      <c r="B541" s="80" t="s">
        <v>1582</v>
      </c>
      <c r="C541" s="92"/>
      <c r="D541" s="92"/>
    </row>
    <row r="542">
      <c r="A542" s="80">
        <v>541.0</v>
      </c>
      <c r="B542" s="80" t="s">
        <v>1580</v>
      </c>
      <c r="C542" s="92"/>
      <c r="D542" s="92"/>
    </row>
    <row r="543">
      <c r="A543" s="80">
        <v>542.0</v>
      </c>
      <c r="B543" s="80" t="s">
        <v>1582</v>
      </c>
      <c r="C543" s="92"/>
      <c r="D543" s="92"/>
    </row>
    <row r="544">
      <c r="A544" s="80">
        <v>543.0</v>
      </c>
      <c r="B544" s="80" t="s">
        <v>1580</v>
      </c>
      <c r="C544" s="92"/>
      <c r="D544" s="92"/>
    </row>
    <row r="545">
      <c r="A545" s="80">
        <v>544.0</v>
      </c>
      <c r="B545" s="80" t="s">
        <v>1582</v>
      </c>
      <c r="C545" s="92"/>
      <c r="D545" s="92"/>
    </row>
    <row r="546">
      <c r="A546" s="80">
        <v>545.0</v>
      </c>
      <c r="B546" s="80" t="s">
        <v>1580</v>
      </c>
      <c r="C546" s="92"/>
      <c r="D546" s="92"/>
    </row>
    <row r="547">
      <c r="A547" s="80">
        <v>546.0</v>
      </c>
      <c r="B547" s="80" t="s">
        <v>1582</v>
      </c>
      <c r="C547" s="92"/>
      <c r="D547" s="92"/>
    </row>
    <row r="548">
      <c r="A548" s="80">
        <v>547.0</v>
      </c>
      <c r="B548" s="80" t="s">
        <v>1580</v>
      </c>
      <c r="C548" s="92"/>
      <c r="D548" s="92"/>
    </row>
    <row r="549">
      <c r="A549" s="80">
        <v>548.0</v>
      </c>
      <c r="B549" s="80" t="s">
        <v>1582</v>
      </c>
      <c r="C549" s="92"/>
      <c r="D549" s="92"/>
    </row>
    <row r="550">
      <c r="A550" s="80">
        <v>549.0</v>
      </c>
      <c r="B550" s="80" t="s">
        <v>1580</v>
      </c>
      <c r="C550" s="92"/>
      <c r="D550" s="92"/>
    </row>
    <row r="551">
      <c r="A551" s="80">
        <v>550.0</v>
      </c>
      <c r="B551" s="80" t="s">
        <v>1582</v>
      </c>
      <c r="C551" s="92"/>
      <c r="D551" s="92"/>
    </row>
    <row r="552">
      <c r="A552" s="80">
        <v>551.0</v>
      </c>
      <c r="B552" s="80" t="s">
        <v>1580</v>
      </c>
      <c r="C552" s="92"/>
      <c r="D552" s="92"/>
    </row>
    <row r="553">
      <c r="A553" s="80">
        <v>552.0</v>
      </c>
      <c r="B553" s="80" t="s">
        <v>1582</v>
      </c>
      <c r="C553" s="92"/>
      <c r="D553" s="92"/>
    </row>
    <row r="554">
      <c r="A554" s="80">
        <v>553.0</v>
      </c>
      <c r="B554" s="80" t="s">
        <v>1580</v>
      </c>
      <c r="C554" s="92"/>
      <c r="D554" s="92"/>
    </row>
    <row r="555">
      <c r="A555" s="80">
        <v>554.0</v>
      </c>
      <c r="B555" s="80" t="s">
        <v>1582</v>
      </c>
      <c r="C555" s="92"/>
      <c r="D555" s="92"/>
    </row>
    <row r="556">
      <c r="A556" s="80">
        <v>555.0</v>
      </c>
      <c r="B556" s="80" t="s">
        <v>1580</v>
      </c>
      <c r="C556" s="92"/>
      <c r="D556" s="92"/>
    </row>
    <row r="557">
      <c r="A557" s="80">
        <v>556.0</v>
      </c>
      <c r="B557" s="80" t="s">
        <v>1582</v>
      </c>
      <c r="C557" s="92"/>
      <c r="D557" s="92"/>
    </row>
    <row r="558">
      <c r="A558" s="80">
        <v>557.0</v>
      </c>
      <c r="B558" s="80" t="s">
        <v>1580</v>
      </c>
      <c r="C558" s="92"/>
      <c r="D558" s="92"/>
    </row>
    <row r="559">
      <c r="A559" s="80">
        <v>558.0</v>
      </c>
      <c r="B559" s="80" t="s">
        <v>1582</v>
      </c>
      <c r="C559" s="92"/>
      <c r="D559" s="92"/>
    </row>
    <row r="560">
      <c r="A560" s="80">
        <v>559.0</v>
      </c>
      <c r="B560" s="80" t="s">
        <v>1580</v>
      </c>
      <c r="C560" s="92"/>
      <c r="D560" s="92"/>
    </row>
    <row r="561">
      <c r="A561" s="80">
        <v>560.0</v>
      </c>
      <c r="B561" s="80" t="s">
        <v>1582</v>
      </c>
      <c r="C561" s="92"/>
      <c r="D561" s="92"/>
    </row>
    <row r="562">
      <c r="A562" s="80">
        <v>561.0</v>
      </c>
      <c r="B562" s="80" t="s">
        <v>1580</v>
      </c>
      <c r="C562" s="92"/>
      <c r="D562" s="92"/>
    </row>
    <row r="563">
      <c r="A563" s="80">
        <v>562.0</v>
      </c>
      <c r="B563" s="80" t="s">
        <v>1582</v>
      </c>
      <c r="C563" s="92"/>
      <c r="D563" s="92"/>
    </row>
    <row r="564">
      <c r="A564" s="80">
        <v>563.0</v>
      </c>
      <c r="B564" s="80" t="s">
        <v>1580</v>
      </c>
      <c r="C564" s="92"/>
      <c r="D564" s="92"/>
    </row>
    <row r="565">
      <c r="A565" s="80">
        <v>564.0</v>
      </c>
      <c r="B565" s="80" t="s">
        <v>1582</v>
      </c>
      <c r="C565" s="92"/>
      <c r="D565" s="92"/>
    </row>
    <row r="566">
      <c r="A566" s="80">
        <v>565.0</v>
      </c>
      <c r="B566" s="80" t="s">
        <v>1580</v>
      </c>
      <c r="C566" s="92"/>
      <c r="D566" s="92"/>
    </row>
    <row r="567">
      <c r="A567" s="80">
        <v>566.0</v>
      </c>
      <c r="B567" s="80" t="s">
        <v>1582</v>
      </c>
      <c r="C567" s="92"/>
      <c r="D567" s="92"/>
    </row>
    <row r="568">
      <c r="A568" s="80">
        <v>567.0</v>
      </c>
      <c r="B568" s="80" t="s">
        <v>1580</v>
      </c>
      <c r="C568" s="92"/>
      <c r="D568" s="92"/>
    </row>
    <row r="569">
      <c r="A569" s="80">
        <v>568.0</v>
      </c>
      <c r="B569" s="80" t="s">
        <v>1582</v>
      </c>
      <c r="C569" s="92"/>
      <c r="D569" s="92"/>
    </row>
    <row r="570">
      <c r="A570" s="80">
        <v>569.0</v>
      </c>
      <c r="B570" s="80" t="s">
        <v>1580</v>
      </c>
      <c r="C570" s="92"/>
      <c r="D570" s="92"/>
    </row>
    <row r="571">
      <c r="A571" s="80">
        <v>570.0</v>
      </c>
      <c r="B571" s="80" t="s">
        <v>1582</v>
      </c>
      <c r="C571" s="92"/>
      <c r="D571" s="92"/>
    </row>
    <row r="572">
      <c r="A572" s="80">
        <v>571.0</v>
      </c>
      <c r="B572" s="80" t="s">
        <v>1580</v>
      </c>
      <c r="C572" s="92"/>
      <c r="D572" s="92"/>
    </row>
    <row r="573">
      <c r="A573" s="80">
        <v>572.0</v>
      </c>
      <c r="B573" s="80" t="s">
        <v>1582</v>
      </c>
      <c r="C573" s="92"/>
      <c r="D573" s="92"/>
    </row>
    <row r="574">
      <c r="A574" s="80">
        <v>573.0</v>
      </c>
      <c r="B574" s="80" t="s">
        <v>1580</v>
      </c>
      <c r="C574" s="92"/>
      <c r="D574" s="92"/>
    </row>
    <row r="575">
      <c r="A575" s="80">
        <v>574.0</v>
      </c>
      <c r="B575" s="80" t="s">
        <v>1582</v>
      </c>
      <c r="C575" s="92"/>
      <c r="D575" s="92"/>
    </row>
    <row r="576">
      <c r="A576" s="80">
        <v>575.0</v>
      </c>
      <c r="B576" s="80" t="s">
        <v>1580</v>
      </c>
      <c r="C576" s="92"/>
      <c r="D576" s="92"/>
    </row>
    <row r="577">
      <c r="A577" s="80">
        <v>576.0</v>
      </c>
      <c r="B577" s="80" t="s">
        <v>1582</v>
      </c>
      <c r="C577" s="92"/>
      <c r="D577" s="92"/>
    </row>
    <row r="578">
      <c r="A578" s="80">
        <v>577.0</v>
      </c>
      <c r="B578" s="80" t="s">
        <v>1580</v>
      </c>
      <c r="C578" s="92"/>
      <c r="D578" s="92"/>
    </row>
    <row r="579">
      <c r="A579" s="80">
        <v>578.0</v>
      </c>
      <c r="B579" s="80" t="s">
        <v>1582</v>
      </c>
      <c r="C579" s="92"/>
      <c r="D579" s="92"/>
    </row>
    <row r="580">
      <c r="A580" s="80">
        <v>579.0</v>
      </c>
      <c r="B580" s="80" t="s">
        <v>1580</v>
      </c>
      <c r="C580" s="92"/>
      <c r="D580" s="92"/>
    </row>
    <row r="581">
      <c r="A581" s="80">
        <v>580.0</v>
      </c>
      <c r="B581" s="80" t="s">
        <v>1582</v>
      </c>
      <c r="C581" s="92"/>
      <c r="D581" s="92"/>
    </row>
    <row r="582">
      <c r="A582" s="80">
        <v>581.0</v>
      </c>
      <c r="B582" s="80" t="s">
        <v>1580</v>
      </c>
      <c r="C582" s="92"/>
      <c r="D582" s="92"/>
    </row>
    <row r="583">
      <c r="A583" s="80">
        <v>582.0</v>
      </c>
      <c r="B583" s="80" t="s">
        <v>1582</v>
      </c>
      <c r="C583" s="92"/>
      <c r="D583" s="92"/>
    </row>
    <row r="584">
      <c r="A584" s="80">
        <v>583.0</v>
      </c>
      <c r="B584" s="80" t="s">
        <v>1580</v>
      </c>
      <c r="C584" s="92"/>
      <c r="D584" s="92"/>
    </row>
    <row r="585">
      <c r="A585" s="80">
        <v>584.0</v>
      </c>
      <c r="B585" s="80" t="s">
        <v>1582</v>
      </c>
      <c r="C585" s="92"/>
      <c r="D585" s="92"/>
    </row>
    <row r="586">
      <c r="A586" s="80">
        <v>585.0</v>
      </c>
      <c r="B586" s="80" t="s">
        <v>1580</v>
      </c>
      <c r="C586" s="92"/>
      <c r="D586" s="92"/>
    </row>
    <row r="587">
      <c r="A587" s="80">
        <v>586.0</v>
      </c>
      <c r="B587" s="80" t="s">
        <v>1582</v>
      </c>
      <c r="C587" s="92"/>
      <c r="D587" s="92"/>
    </row>
    <row r="588">
      <c r="A588" s="80">
        <v>587.0</v>
      </c>
      <c r="B588" s="80" t="s">
        <v>1580</v>
      </c>
      <c r="C588" s="92"/>
      <c r="D588" s="92"/>
    </row>
    <row r="589">
      <c r="A589" s="80">
        <v>588.0</v>
      </c>
      <c r="B589" s="80" t="s">
        <v>1582</v>
      </c>
      <c r="C589" s="92"/>
      <c r="D589" s="92"/>
    </row>
    <row r="590">
      <c r="A590" s="80">
        <v>589.0</v>
      </c>
      <c r="B590" s="80" t="s">
        <v>1580</v>
      </c>
      <c r="C590" s="92"/>
      <c r="D590" s="92"/>
    </row>
    <row r="591">
      <c r="A591" s="80">
        <v>590.0</v>
      </c>
      <c r="B591" s="80" t="s">
        <v>1582</v>
      </c>
      <c r="C591" s="92"/>
      <c r="D591" s="92"/>
    </row>
    <row r="592">
      <c r="A592" s="80">
        <v>591.0</v>
      </c>
      <c r="B592" s="80" t="s">
        <v>1580</v>
      </c>
      <c r="C592" s="92"/>
      <c r="D592" s="92"/>
    </row>
    <row r="593">
      <c r="A593" s="80">
        <v>592.0</v>
      </c>
      <c r="B593" s="80" t="s">
        <v>1582</v>
      </c>
      <c r="C593" s="92"/>
      <c r="D593" s="92"/>
    </row>
    <row r="594">
      <c r="A594" s="80">
        <v>593.0</v>
      </c>
      <c r="B594" s="80" t="s">
        <v>1580</v>
      </c>
      <c r="C594" s="92"/>
      <c r="D594" s="92"/>
    </row>
    <row r="595">
      <c r="A595" s="80">
        <v>594.0</v>
      </c>
      <c r="B595" s="80" t="s">
        <v>1582</v>
      </c>
      <c r="C595" s="92"/>
      <c r="D595" s="92"/>
    </row>
    <row r="596">
      <c r="A596" s="80">
        <v>595.0</v>
      </c>
      <c r="B596" s="80" t="s">
        <v>1580</v>
      </c>
      <c r="C596" s="92"/>
      <c r="D596" s="92"/>
    </row>
    <row r="597">
      <c r="A597" s="80">
        <v>596.0</v>
      </c>
      <c r="B597" s="80" t="s">
        <v>1582</v>
      </c>
      <c r="C597" s="92"/>
      <c r="D597" s="92"/>
    </row>
    <row r="598">
      <c r="A598" s="80">
        <v>597.0</v>
      </c>
      <c r="B598" s="80" t="s">
        <v>1580</v>
      </c>
      <c r="C598" s="92"/>
      <c r="D598" s="92"/>
    </row>
    <row r="599">
      <c r="A599" s="80">
        <v>598.0</v>
      </c>
      <c r="B599" s="80" t="s">
        <v>1582</v>
      </c>
      <c r="C599" s="92"/>
      <c r="D599" s="92"/>
    </row>
    <row r="600">
      <c r="A600" s="80">
        <v>599.0</v>
      </c>
      <c r="B600" s="80" t="s">
        <v>1580</v>
      </c>
      <c r="C600" s="92"/>
      <c r="D600" s="92"/>
    </row>
    <row r="601">
      <c r="A601" s="80">
        <v>600.0</v>
      </c>
      <c r="B601" s="80" t="s">
        <v>1582</v>
      </c>
      <c r="C601" s="92"/>
      <c r="D601" s="92"/>
    </row>
    <row r="602">
      <c r="A602" s="80">
        <v>601.0</v>
      </c>
      <c r="B602" s="80" t="s">
        <v>1580</v>
      </c>
      <c r="C602" s="92"/>
      <c r="D602" s="92"/>
    </row>
    <row r="603">
      <c r="A603" s="80">
        <v>602.0</v>
      </c>
      <c r="B603" s="80" t="s">
        <v>1582</v>
      </c>
      <c r="C603" s="92"/>
      <c r="D603" s="92"/>
    </row>
    <row r="604">
      <c r="A604" s="80">
        <v>603.0</v>
      </c>
      <c r="B604" s="80" t="s">
        <v>1580</v>
      </c>
      <c r="C604" s="92"/>
      <c r="D604" s="92"/>
    </row>
    <row r="605">
      <c r="A605" s="80">
        <v>604.0</v>
      </c>
      <c r="B605" s="80" t="s">
        <v>1582</v>
      </c>
      <c r="C605" s="92"/>
      <c r="D605" s="92"/>
    </row>
    <row r="606">
      <c r="A606" s="80">
        <v>605.0</v>
      </c>
      <c r="B606" s="80" t="s">
        <v>1580</v>
      </c>
      <c r="C606" s="92"/>
      <c r="D606" s="92"/>
    </row>
    <row r="607">
      <c r="A607" s="80">
        <v>606.0</v>
      </c>
      <c r="B607" s="80" t="s">
        <v>1582</v>
      </c>
      <c r="C607" s="92"/>
      <c r="D607" s="92"/>
    </row>
    <row r="608">
      <c r="A608" s="80">
        <v>607.0</v>
      </c>
      <c r="B608" s="80" t="s">
        <v>1580</v>
      </c>
      <c r="C608" s="92"/>
      <c r="D608" s="92"/>
    </row>
    <row r="609">
      <c r="A609" s="80">
        <v>608.0</v>
      </c>
      <c r="B609" s="80" t="s">
        <v>1582</v>
      </c>
      <c r="C609" s="92"/>
      <c r="D609" s="92"/>
    </row>
    <row r="610">
      <c r="A610" s="80">
        <v>609.0</v>
      </c>
      <c r="B610" s="80" t="s">
        <v>1580</v>
      </c>
      <c r="C610" s="92"/>
      <c r="D610" s="92"/>
    </row>
    <row r="611">
      <c r="A611" s="80">
        <v>610.0</v>
      </c>
      <c r="B611" s="80" t="s">
        <v>1582</v>
      </c>
      <c r="C611" s="92"/>
      <c r="D611" s="92"/>
    </row>
    <row r="612">
      <c r="A612" s="80">
        <v>611.0</v>
      </c>
      <c r="B612" s="80" t="s">
        <v>1580</v>
      </c>
      <c r="C612" s="92"/>
      <c r="D612" s="92"/>
    </row>
    <row r="613">
      <c r="A613" s="80">
        <v>612.0</v>
      </c>
      <c r="B613" s="80" t="s">
        <v>1582</v>
      </c>
      <c r="C613" s="92"/>
      <c r="D613" s="92"/>
    </row>
    <row r="614">
      <c r="A614" s="80">
        <v>613.0</v>
      </c>
      <c r="B614" s="80" t="s">
        <v>1580</v>
      </c>
      <c r="C614" s="92"/>
      <c r="D614" s="92"/>
    </row>
    <row r="615">
      <c r="A615" s="80">
        <v>614.0</v>
      </c>
      <c r="B615" s="80" t="s">
        <v>1582</v>
      </c>
      <c r="C615" s="92"/>
      <c r="D615" s="92"/>
    </row>
    <row r="616">
      <c r="A616" s="80">
        <v>615.0</v>
      </c>
      <c r="B616" s="80" t="s">
        <v>1580</v>
      </c>
      <c r="C616" s="92"/>
      <c r="D616" s="92"/>
    </row>
    <row r="617">
      <c r="A617" s="80">
        <v>616.0</v>
      </c>
      <c r="B617" s="80" t="s">
        <v>1582</v>
      </c>
      <c r="C617" s="92"/>
      <c r="D617" s="92"/>
    </row>
    <row r="618">
      <c r="A618" s="80">
        <v>617.0</v>
      </c>
      <c r="B618" s="80" t="s">
        <v>1580</v>
      </c>
      <c r="C618" s="92"/>
      <c r="D618" s="92"/>
    </row>
    <row r="619">
      <c r="A619" s="80">
        <v>618.0</v>
      </c>
      <c r="B619" s="80" t="s">
        <v>1582</v>
      </c>
      <c r="C619" s="92"/>
      <c r="D619" s="92"/>
    </row>
    <row r="620">
      <c r="A620" s="80">
        <v>619.0</v>
      </c>
      <c r="B620" s="80" t="s">
        <v>1580</v>
      </c>
      <c r="C620" s="92"/>
      <c r="D620" s="92"/>
    </row>
    <row r="621">
      <c r="A621" s="80">
        <v>620.0</v>
      </c>
      <c r="B621" s="80" t="s">
        <v>1582</v>
      </c>
      <c r="C621" s="92"/>
      <c r="D621" s="92"/>
    </row>
    <row r="622">
      <c r="A622" s="80">
        <v>621.0</v>
      </c>
      <c r="B622" s="80" t="s">
        <v>1580</v>
      </c>
      <c r="C622" s="92"/>
      <c r="D622" s="92"/>
    </row>
    <row r="623">
      <c r="A623" s="80">
        <v>622.0</v>
      </c>
      <c r="B623" s="80" t="s">
        <v>1582</v>
      </c>
      <c r="C623" s="92"/>
      <c r="D623" s="92"/>
    </row>
    <row r="624">
      <c r="A624" s="80">
        <v>623.0</v>
      </c>
      <c r="B624" s="80" t="s">
        <v>1580</v>
      </c>
      <c r="C624" s="92"/>
      <c r="D624" s="92"/>
    </row>
    <row r="625">
      <c r="A625" s="80">
        <v>624.0</v>
      </c>
      <c r="B625" s="80" t="s">
        <v>1582</v>
      </c>
      <c r="C625" s="92"/>
      <c r="D625" s="92"/>
    </row>
    <row r="626">
      <c r="A626" s="80">
        <v>625.0</v>
      </c>
      <c r="B626" s="80" t="s">
        <v>1580</v>
      </c>
      <c r="C626" s="92"/>
      <c r="D626" s="92"/>
    </row>
    <row r="627">
      <c r="A627" s="80">
        <v>626.0</v>
      </c>
      <c r="B627" s="80" t="s">
        <v>1582</v>
      </c>
      <c r="C627" s="92"/>
      <c r="D627" s="92"/>
    </row>
    <row r="628">
      <c r="A628" s="80">
        <v>627.0</v>
      </c>
      <c r="B628" s="80" t="s">
        <v>1580</v>
      </c>
      <c r="C628" s="92"/>
      <c r="D628" s="92"/>
    </row>
    <row r="629">
      <c r="A629" s="80">
        <v>628.0</v>
      </c>
      <c r="B629" s="80" t="s">
        <v>1582</v>
      </c>
      <c r="C629" s="92"/>
      <c r="D629" s="92"/>
    </row>
    <row r="630">
      <c r="A630" s="80">
        <v>629.0</v>
      </c>
      <c r="B630" s="80" t="s">
        <v>1580</v>
      </c>
      <c r="C630" s="92"/>
      <c r="D630" s="92"/>
    </row>
    <row r="631">
      <c r="A631" s="80">
        <v>630.0</v>
      </c>
      <c r="B631" s="80" t="s">
        <v>1582</v>
      </c>
      <c r="C631" s="92"/>
      <c r="D631" s="92"/>
    </row>
    <row r="632">
      <c r="A632" s="80">
        <v>631.0</v>
      </c>
      <c r="B632" s="80" t="s">
        <v>1580</v>
      </c>
      <c r="C632" s="92"/>
      <c r="D632" s="92"/>
    </row>
    <row r="633">
      <c r="A633" s="80">
        <v>632.0</v>
      </c>
      <c r="B633" s="80" t="s">
        <v>1582</v>
      </c>
      <c r="C633" s="92"/>
      <c r="D633" s="92"/>
    </row>
    <row r="634">
      <c r="A634" s="80">
        <v>633.0</v>
      </c>
      <c r="B634" s="80" t="s">
        <v>1580</v>
      </c>
      <c r="C634" s="92"/>
      <c r="D634" s="92"/>
    </row>
    <row r="635">
      <c r="A635" s="80">
        <v>634.0</v>
      </c>
      <c r="B635" s="80" t="s">
        <v>1582</v>
      </c>
      <c r="C635" s="92"/>
      <c r="D635" s="92"/>
    </row>
    <row r="636">
      <c r="A636" s="80">
        <v>635.0</v>
      </c>
      <c r="B636" s="80" t="s">
        <v>1580</v>
      </c>
      <c r="C636" s="92"/>
      <c r="D636" s="92"/>
    </row>
    <row r="637">
      <c r="A637" s="80">
        <v>636.0</v>
      </c>
      <c r="B637" s="80" t="s">
        <v>1582</v>
      </c>
      <c r="C637" s="92"/>
      <c r="D637" s="92"/>
    </row>
    <row r="638">
      <c r="A638" s="80">
        <v>637.0</v>
      </c>
      <c r="B638" s="80" t="s">
        <v>1580</v>
      </c>
      <c r="C638" s="92"/>
      <c r="D638" s="92"/>
    </row>
    <row r="639">
      <c r="A639" s="80">
        <v>638.0</v>
      </c>
      <c r="B639" s="80" t="s">
        <v>1582</v>
      </c>
      <c r="C639" s="92"/>
      <c r="D639" s="92"/>
    </row>
    <row r="640">
      <c r="A640" s="80">
        <v>639.0</v>
      </c>
      <c r="B640" s="80" t="s">
        <v>1580</v>
      </c>
      <c r="C640" s="92"/>
      <c r="D640" s="92"/>
    </row>
    <row r="641">
      <c r="A641" s="80">
        <v>640.0</v>
      </c>
      <c r="B641" s="80" t="s">
        <v>1582</v>
      </c>
      <c r="C641" s="92"/>
      <c r="D641" s="92"/>
    </row>
    <row r="642">
      <c r="A642" s="80">
        <v>641.0</v>
      </c>
      <c r="B642" s="80" t="s">
        <v>1580</v>
      </c>
      <c r="C642" s="92"/>
      <c r="D642" s="92"/>
    </row>
    <row r="643">
      <c r="A643" s="80">
        <v>642.0</v>
      </c>
      <c r="B643" s="80" t="s">
        <v>1582</v>
      </c>
      <c r="C643" s="92"/>
      <c r="D643" s="92"/>
    </row>
    <row r="644">
      <c r="A644" s="80">
        <v>643.0</v>
      </c>
      <c r="B644" s="80" t="s">
        <v>1580</v>
      </c>
      <c r="C644" s="92"/>
      <c r="D644" s="92"/>
    </row>
    <row r="645">
      <c r="A645" s="80">
        <v>644.0</v>
      </c>
      <c r="B645" s="80" t="s">
        <v>1582</v>
      </c>
      <c r="C645" s="92"/>
      <c r="D645" s="92"/>
    </row>
    <row r="646">
      <c r="A646" s="80">
        <v>645.0</v>
      </c>
      <c r="B646" s="80" t="s">
        <v>1580</v>
      </c>
      <c r="C646" s="92"/>
      <c r="D646" s="92"/>
    </row>
    <row r="647">
      <c r="A647" s="80">
        <v>646.0</v>
      </c>
      <c r="B647" s="80" t="s">
        <v>1582</v>
      </c>
      <c r="C647" s="92"/>
      <c r="D647" s="92"/>
    </row>
    <row r="648">
      <c r="A648" s="80">
        <v>647.0</v>
      </c>
      <c r="B648" s="80" t="s">
        <v>1580</v>
      </c>
      <c r="C648" s="92"/>
      <c r="D648" s="92"/>
    </row>
    <row r="649">
      <c r="A649" s="80">
        <v>648.0</v>
      </c>
      <c r="B649" s="80" t="s">
        <v>1582</v>
      </c>
      <c r="C649" s="92"/>
      <c r="D649" s="92"/>
    </row>
    <row r="650">
      <c r="A650" s="80">
        <v>649.0</v>
      </c>
      <c r="B650" s="80" t="s">
        <v>1580</v>
      </c>
      <c r="C650" s="92"/>
      <c r="D650" s="92"/>
    </row>
    <row r="651">
      <c r="A651" s="80">
        <v>650.0</v>
      </c>
      <c r="B651" s="80" t="s">
        <v>1582</v>
      </c>
      <c r="C651" s="92"/>
      <c r="D651" s="92"/>
    </row>
    <row r="652">
      <c r="A652" s="80">
        <v>651.0</v>
      </c>
      <c r="B652" s="80" t="s">
        <v>1580</v>
      </c>
      <c r="C652" s="92"/>
      <c r="D652" s="92"/>
    </row>
    <row r="653">
      <c r="A653" s="80">
        <v>652.0</v>
      </c>
      <c r="B653" s="80" t="s">
        <v>1582</v>
      </c>
      <c r="C653" s="92"/>
      <c r="D653" s="92"/>
    </row>
    <row r="654">
      <c r="A654" s="80">
        <v>653.0</v>
      </c>
      <c r="B654" s="80" t="s">
        <v>1580</v>
      </c>
      <c r="C654" s="92"/>
      <c r="D654" s="92"/>
    </row>
    <row r="655">
      <c r="A655" s="80">
        <v>654.0</v>
      </c>
      <c r="B655" s="80" t="s">
        <v>1582</v>
      </c>
      <c r="C655" s="92"/>
      <c r="D655" s="92"/>
    </row>
    <row r="656">
      <c r="A656" s="80">
        <v>655.0</v>
      </c>
      <c r="B656" s="80" t="s">
        <v>1580</v>
      </c>
      <c r="C656" s="92"/>
      <c r="D656" s="92"/>
    </row>
    <row r="657">
      <c r="A657" s="80">
        <v>656.0</v>
      </c>
      <c r="B657" s="80" t="s">
        <v>1582</v>
      </c>
      <c r="C657" s="92"/>
      <c r="D657" s="92"/>
    </row>
    <row r="658">
      <c r="A658" s="80">
        <v>657.0</v>
      </c>
      <c r="B658" s="80" t="s">
        <v>1580</v>
      </c>
      <c r="C658" s="92"/>
      <c r="D658" s="92"/>
    </row>
    <row r="659">
      <c r="A659" s="80">
        <v>658.0</v>
      </c>
      <c r="B659" s="80" t="s">
        <v>1582</v>
      </c>
      <c r="C659" s="92"/>
      <c r="D659" s="92"/>
    </row>
    <row r="660">
      <c r="A660" s="80">
        <v>659.0</v>
      </c>
      <c r="B660" s="80" t="s">
        <v>1580</v>
      </c>
      <c r="C660" s="92"/>
      <c r="D660" s="92"/>
    </row>
    <row r="661">
      <c r="A661" s="80">
        <v>660.0</v>
      </c>
      <c r="B661" s="80" t="s">
        <v>1582</v>
      </c>
      <c r="C661" s="92"/>
      <c r="D661" s="92"/>
    </row>
    <row r="662">
      <c r="A662" s="80">
        <v>661.0</v>
      </c>
      <c r="B662" s="80" t="s">
        <v>1580</v>
      </c>
      <c r="C662" s="92"/>
      <c r="D662" s="92"/>
    </row>
    <row r="663">
      <c r="A663" s="80">
        <v>662.0</v>
      </c>
      <c r="B663" s="80" t="s">
        <v>1582</v>
      </c>
      <c r="C663" s="92"/>
      <c r="D663" s="92"/>
    </row>
    <row r="664">
      <c r="A664" s="80">
        <v>663.0</v>
      </c>
      <c r="B664" s="80" t="s">
        <v>1580</v>
      </c>
      <c r="C664" s="92"/>
      <c r="D664" s="92"/>
    </row>
    <row r="665">
      <c r="A665" s="80">
        <v>664.0</v>
      </c>
      <c r="B665" s="80" t="s">
        <v>1582</v>
      </c>
      <c r="C665" s="92"/>
      <c r="D665" s="92"/>
    </row>
    <row r="666">
      <c r="A666" s="80">
        <v>665.0</v>
      </c>
      <c r="B666" s="80" t="s">
        <v>1580</v>
      </c>
      <c r="C666" s="92"/>
      <c r="D666" s="92"/>
    </row>
    <row r="667">
      <c r="A667" s="80">
        <v>666.0</v>
      </c>
      <c r="B667" s="80" t="s">
        <v>1582</v>
      </c>
      <c r="C667" s="92"/>
      <c r="D667" s="92"/>
    </row>
    <row r="668">
      <c r="A668" s="80">
        <v>667.0</v>
      </c>
      <c r="B668" s="80" t="s">
        <v>1580</v>
      </c>
      <c r="C668" s="92"/>
      <c r="D668" s="92"/>
    </row>
    <row r="669">
      <c r="A669" s="80">
        <v>668.0</v>
      </c>
      <c r="B669" s="80" t="s">
        <v>1582</v>
      </c>
      <c r="C669" s="92"/>
      <c r="D669" s="92"/>
    </row>
    <row r="670">
      <c r="A670" s="80">
        <v>669.0</v>
      </c>
      <c r="B670" s="80" t="s">
        <v>1580</v>
      </c>
      <c r="C670" s="92"/>
      <c r="D670" s="92"/>
    </row>
    <row r="671">
      <c r="A671" s="80">
        <v>670.0</v>
      </c>
      <c r="B671" s="80" t="s">
        <v>1582</v>
      </c>
      <c r="C671" s="92"/>
      <c r="D671" s="92"/>
    </row>
    <row r="672">
      <c r="A672" s="80">
        <v>671.0</v>
      </c>
      <c r="B672" s="80" t="s">
        <v>1580</v>
      </c>
      <c r="C672" s="92"/>
      <c r="D672" s="92"/>
    </row>
    <row r="673">
      <c r="A673" s="80">
        <v>672.0</v>
      </c>
      <c r="B673" s="80" t="s">
        <v>1582</v>
      </c>
      <c r="C673" s="92"/>
      <c r="D673" s="92"/>
    </row>
    <row r="674">
      <c r="A674" s="80">
        <v>673.0</v>
      </c>
      <c r="B674" s="80" t="s">
        <v>1580</v>
      </c>
      <c r="C674" s="92"/>
      <c r="D674" s="92"/>
    </row>
    <row r="675">
      <c r="A675" s="80">
        <v>674.0</v>
      </c>
      <c r="B675" s="80" t="s">
        <v>1582</v>
      </c>
      <c r="C675" s="92"/>
      <c r="D675" s="92"/>
    </row>
    <row r="676">
      <c r="A676" s="80">
        <v>675.0</v>
      </c>
      <c r="B676" s="80" t="s">
        <v>1580</v>
      </c>
      <c r="C676" s="92"/>
      <c r="D676" s="92"/>
    </row>
    <row r="677">
      <c r="A677" s="80">
        <v>676.0</v>
      </c>
      <c r="B677" s="80" t="s">
        <v>1582</v>
      </c>
      <c r="C677" s="92"/>
      <c r="D677" s="92"/>
    </row>
    <row r="678">
      <c r="A678" s="80">
        <v>677.0</v>
      </c>
      <c r="B678" s="80" t="s">
        <v>1580</v>
      </c>
      <c r="C678" s="92"/>
      <c r="D678" s="92"/>
    </row>
    <row r="679">
      <c r="A679" s="80">
        <v>678.0</v>
      </c>
      <c r="B679" s="80" t="s">
        <v>1582</v>
      </c>
      <c r="C679" s="92"/>
      <c r="D679" s="92"/>
    </row>
    <row r="680">
      <c r="A680" s="80">
        <v>679.0</v>
      </c>
      <c r="B680" s="80" t="s">
        <v>1580</v>
      </c>
      <c r="C680" s="92"/>
      <c r="D680" s="92"/>
    </row>
    <row r="681">
      <c r="A681" s="80">
        <v>680.0</v>
      </c>
      <c r="B681" s="80" t="s">
        <v>1582</v>
      </c>
      <c r="C681" s="92"/>
      <c r="D681" s="92"/>
    </row>
    <row r="682">
      <c r="A682" s="80">
        <v>681.0</v>
      </c>
      <c r="B682" s="80" t="s">
        <v>1580</v>
      </c>
      <c r="C682" s="92"/>
      <c r="D682" s="92"/>
    </row>
    <row r="683">
      <c r="A683" s="80">
        <v>682.0</v>
      </c>
      <c r="B683" s="80" t="s">
        <v>1582</v>
      </c>
      <c r="C683" s="92"/>
      <c r="D683" s="92"/>
    </row>
    <row r="684">
      <c r="A684" s="80">
        <v>683.0</v>
      </c>
      <c r="B684" s="80" t="s">
        <v>1580</v>
      </c>
      <c r="C684" s="92"/>
      <c r="D684" s="92"/>
    </row>
    <row r="685">
      <c r="A685" s="80">
        <v>684.0</v>
      </c>
      <c r="B685" s="80" t="s">
        <v>1582</v>
      </c>
      <c r="C685" s="92"/>
      <c r="D685" s="92"/>
    </row>
    <row r="686">
      <c r="A686" s="80">
        <v>685.0</v>
      </c>
      <c r="B686" s="80" t="s">
        <v>1580</v>
      </c>
      <c r="C686" s="92"/>
      <c r="D686" s="92"/>
    </row>
    <row r="687">
      <c r="A687" s="80">
        <v>686.0</v>
      </c>
      <c r="B687" s="80" t="s">
        <v>1582</v>
      </c>
      <c r="C687" s="92"/>
      <c r="D687" s="92"/>
    </row>
    <row r="688">
      <c r="A688" s="80">
        <v>687.0</v>
      </c>
      <c r="B688" s="80" t="s">
        <v>1580</v>
      </c>
      <c r="C688" s="92"/>
      <c r="D688" s="92"/>
    </row>
    <row r="689">
      <c r="A689" s="80">
        <v>688.0</v>
      </c>
      <c r="B689" s="80" t="s">
        <v>1582</v>
      </c>
      <c r="C689" s="92"/>
      <c r="D689" s="92"/>
    </row>
    <row r="690">
      <c r="A690" s="80">
        <v>689.0</v>
      </c>
      <c r="B690" s="80" t="s">
        <v>1580</v>
      </c>
      <c r="C690" s="92"/>
      <c r="D690" s="92"/>
    </row>
    <row r="691">
      <c r="A691" s="80">
        <v>690.0</v>
      </c>
      <c r="B691" s="80" t="s">
        <v>1582</v>
      </c>
      <c r="C691" s="92"/>
      <c r="D691" s="92"/>
    </row>
    <row r="692">
      <c r="A692" s="80">
        <v>691.0</v>
      </c>
      <c r="B692" s="80" t="s">
        <v>1580</v>
      </c>
      <c r="C692" s="92"/>
      <c r="D692" s="92"/>
    </row>
    <row r="693">
      <c r="A693" s="80">
        <v>692.0</v>
      </c>
      <c r="B693" s="80" t="s">
        <v>1582</v>
      </c>
      <c r="C693" s="92"/>
      <c r="D693" s="92"/>
    </row>
    <row r="694">
      <c r="A694" s="80">
        <v>693.0</v>
      </c>
      <c r="B694" s="80" t="s">
        <v>1580</v>
      </c>
      <c r="C694" s="92"/>
      <c r="D694" s="92"/>
    </row>
    <row r="695">
      <c r="A695" s="80">
        <v>694.0</v>
      </c>
      <c r="B695" s="80" t="s">
        <v>1582</v>
      </c>
      <c r="C695" s="92"/>
      <c r="D695" s="92"/>
    </row>
    <row r="696">
      <c r="A696" s="80">
        <v>695.0</v>
      </c>
      <c r="B696" s="80" t="s">
        <v>1580</v>
      </c>
      <c r="C696" s="92"/>
      <c r="D696" s="92"/>
    </row>
    <row r="697">
      <c r="A697" s="80">
        <v>696.0</v>
      </c>
      <c r="B697" s="80" t="s">
        <v>1582</v>
      </c>
      <c r="C697" s="92"/>
      <c r="D697" s="92"/>
    </row>
    <row r="698">
      <c r="A698" s="80">
        <v>697.0</v>
      </c>
      <c r="B698" s="80" t="s">
        <v>1580</v>
      </c>
      <c r="C698" s="92"/>
      <c r="D698" s="92"/>
    </row>
    <row r="699">
      <c r="A699" s="80">
        <v>698.0</v>
      </c>
      <c r="B699" s="80" t="s">
        <v>1582</v>
      </c>
      <c r="C699" s="92"/>
      <c r="D699" s="92"/>
    </row>
    <row r="700">
      <c r="A700" s="80">
        <v>699.0</v>
      </c>
      <c r="B700" s="80" t="s">
        <v>1580</v>
      </c>
      <c r="C700" s="92"/>
      <c r="D700" s="92"/>
    </row>
    <row r="701">
      <c r="A701" s="80">
        <v>700.0</v>
      </c>
      <c r="B701" s="80" t="s">
        <v>1582</v>
      </c>
      <c r="C701" s="92"/>
      <c r="D701" s="92"/>
    </row>
    <row r="702">
      <c r="A702" s="80">
        <v>701.0</v>
      </c>
      <c r="B702" s="80" t="s">
        <v>1580</v>
      </c>
      <c r="C702" s="92"/>
      <c r="D702" s="92"/>
    </row>
    <row r="703">
      <c r="A703" s="80">
        <v>702.0</v>
      </c>
      <c r="B703" s="80" t="s">
        <v>1582</v>
      </c>
      <c r="C703" s="92"/>
      <c r="D703" s="92"/>
    </row>
    <row r="704">
      <c r="A704" s="80">
        <v>703.0</v>
      </c>
      <c r="B704" s="80" t="s">
        <v>1580</v>
      </c>
      <c r="C704" s="92"/>
      <c r="D704" s="92"/>
    </row>
    <row r="705">
      <c r="A705" s="80">
        <v>704.0</v>
      </c>
      <c r="B705" s="80" t="s">
        <v>1582</v>
      </c>
      <c r="C705" s="92"/>
      <c r="D705" s="92"/>
    </row>
    <row r="706">
      <c r="A706" s="80">
        <v>705.0</v>
      </c>
      <c r="B706" s="80" t="s">
        <v>1580</v>
      </c>
      <c r="C706" s="92"/>
      <c r="D706" s="92"/>
    </row>
    <row r="707">
      <c r="A707" s="80">
        <v>706.0</v>
      </c>
      <c r="B707" s="80" t="s">
        <v>1582</v>
      </c>
      <c r="C707" s="92"/>
      <c r="D707" s="92"/>
    </row>
    <row r="708">
      <c r="A708" s="80">
        <v>707.0</v>
      </c>
      <c r="B708" s="80" t="s">
        <v>1580</v>
      </c>
      <c r="C708" s="92"/>
      <c r="D708" s="92"/>
    </row>
    <row r="709">
      <c r="A709" s="80">
        <v>708.0</v>
      </c>
      <c r="B709" s="80" t="s">
        <v>1582</v>
      </c>
      <c r="C709" s="92"/>
      <c r="D709" s="92"/>
    </row>
    <row r="710">
      <c r="A710" s="80">
        <v>709.0</v>
      </c>
      <c r="B710" s="80" t="s">
        <v>1580</v>
      </c>
      <c r="C710" s="92"/>
      <c r="D710" s="92"/>
    </row>
    <row r="711">
      <c r="A711" s="80">
        <v>710.0</v>
      </c>
      <c r="B711" s="80" t="s">
        <v>1582</v>
      </c>
      <c r="C711" s="92"/>
      <c r="D711" s="92"/>
    </row>
    <row r="712">
      <c r="A712" s="80">
        <v>711.0</v>
      </c>
      <c r="B712" s="80" t="s">
        <v>1580</v>
      </c>
      <c r="C712" s="92"/>
      <c r="D712" s="92"/>
    </row>
    <row r="713">
      <c r="A713" s="80">
        <v>712.0</v>
      </c>
      <c r="B713" s="80" t="s">
        <v>1582</v>
      </c>
      <c r="C713" s="92"/>
      <c r="D713" s="92"/>
    </row>
    <row r="714">
      <c r="A714" s="80">
        <v>713.0</v>
      </c>
      <c r="B714" s="80" t="s">
        <v>1580</v>
      </c>
      <c r="C714" s="92"/>
      <c r="D714" s="92"/>
    </row>
    <row r="715">
      <c r="A715" s="80">
        <v>714.0</v>
      </c>
      <c r="B715" s="80" t="s">
        <v>1582</v>
      </c>
      <c r="C715" s="92"/>
      <c r="D715" s="92"/>
    </row>
    <row r="716">
      <c r="A716" s="80">
        <v>715.0</v>
      </c>
      <c r="B716" s="80" t="s">
        <v>1580</v>
      </c>
      <c r="C716" s="92"/>
      <c r="D716" s="92"/>
    </row>
    <row r="717">
      <c r="A717" s="80">
        <v>716.0</v>
      </c>
      <c r="B717" s="80" t="s">
        <v>1582</v>
      </c>
      <c r="C717" s="92"/>
      <c r="D717" s="92"/>
    </row>
    <row r="718">
      <c r="A718" s="80">
        <v>717.0</v>
      </c>
      <c r="B718" s="80" t="s">
        <v>1580</v>
      </c>
      <c r="C718" s="92"/>
      <c r="D718" s="92"/>
    </row>
    <row r="719">
      <c r="A719" s="80">
        <v>718.0</v>
      </c>
      <c r="B719" s="80" t="s">
        <v>1582</v>
      </c>
      <c r="C719" s="92"/>
      <c r="D719" s="92"/>
    </row>
    <row r="720">
      <c r="A720" s="80">
        <v>719.0</v>
      </c>
      <c r="B720" s="80" t="s">
        <v>1580</v>
      </c>
      <c r="C720" s="92"/>
      <c r="D720" s="92"/>
    </row>
    <row r="721">
      <c r="A721" s="80">
        <v>720.0</v>
      </c>
      <c r="B721" s="80" t="s">
        <v>1582</v>
      </c>
      <c r="C721" s="92"/>
      <c r="D721" s="92"/>
    </row>
    <row r="722">
      <c r="A722" s="80">
        <v>721.0</v>
      </c>
      <c r="B722" s="80" t="s">
        <v>1580</v>
      </c>
      <c r="C722" s="92"/>
      <c r="D722" s="92"/>
    </row>
    <row r="723">
      <c r="A723" s="80">
        <v>722.0</v>
      </c>
      <c r="B723" s="80" t="s">
        <v>1582</v>
      </c>
      <c r="C723" s="92"/>
      <c r="D723" s="92"/>
    </row>
    <row r="724">
      <c r="A724" s="80">
        <v>723.0</v>
      </c>
      <c r="B724" s="80" t="s">
        <v>1580</v>
      </c>
      <c r="C724" s="92"/>
      <c r="D724" s="92"/>
    </row>
    <row r="725">
      <c r="A725" s="80">
        <v>724.0</v>
      </c>
      <c r="B725" s="80" t="s">
        <v>1582</v>
      </c>
      <c r="C725" s="92"/>
      <c r="D725" s="92"/>
    </row>
    <row r="726">
      <c r="A726" s="80">
        <v>725.0</v>
      </c>
      <c r="B726" s="80" t="s">
        <v>1580</v>
      </c>
      <c r="C726" s="92"/>
      <c r="D726" s="92"/>
    </row>
    <row r="727">
      <c r="A727" s="80">
        <v>726.0</v>
      </c>
      <c r="B727" s="80" t="s">
        <v>1582</v>
      </c>
      <c r="C727" s="92"/>
      <c r="D727" s="92"/>
    </row>
    <row r="728">
      <c r="A728" s="80">
        <v>727.0</v>
      </c>
      <c r="B728" s="80" t="s">
        <v>1580</v>
      </c>
      <c r="C728" s="92"/>
      <c r="D728" s="92"/>
    </row>
    <row r="729">
      <c r="A729" s="80">
        <v>728.0</v>
      </c>
      <c r="B729" s="80" t="s">
        <v>1582</v>
      </c>
      <c r="C729" s="92"/>
      <c r="D729" s="92"/>
    </row>
    <row r="730">
      <c r="A730" s="80">
        <v>729.0</v>
      </c>
      <c r="B730" s="80" t="s">
        <v>1580</v>
      </c>
      <c r="C730" s="92"/>
      <c r="D730" s="92"/>
    </row>
    <row r="731">
      <c r="A731" s="80">
        <v>730.0</v>
      </c>
      <c r="B731" s="80" t="s">
        <v>1582</v>
      </c>
      <c r="C731" s="92"/>
      <c r="D731" s="92"/>
    </row>
    <row r="732">
      <c r="A732" s="80">
        <v>731.0</v>
      </c>
      <c r="B732" s="80" t="s">
        <v>1580</v>
      </c>
      <c r="C732" s="92"/>
      <c r="D732" s="92"/>
    </row>
    <row r="733">
      <c r="A733" s="80">
        <v>732.0</v>
      </c>
      <c r="B733" s="80" t="s">
        <v>1582</v>
      </c>
      <c r="C733" s="92"/>
      <c r="D733" s="92"/>
    </row>
    <row r="734">
      <c r="A734" s="80">
        <v>733.0</v>
      </c>
      <c r="B734" s="80" t="s">
        <v>1580</v>
      </c>
      <c r="C734" s="92"/>
      <c r="D734" s="92"/>
    </row>
    <row r="735">
      <c r="A735" s="80">
        <v>734.0</v>
      </c>
      <c r="B735" s="80" t="s">
        <v>1582</v>
      </c>
      <c r="C735" s="92"/>
      <c r="D735" s="92"/>
    </row>
    <row r="736">
      <c r="A736" s="80">
        <v>735.0</v>
      </c>
      <c r="B736" s="80" t="s">
        <v>1580</v>
      </c>
      <c r="C736" s="92"/>
      <c r="D736" s="92"/>
    </row>
    <row r="737">
      <c r="A737" s="80">
        <v>736.0</v>
      </c>
      <c r="B737" s="80" t="s">
        <v>1582</v>
      </c>
      <c r="C737" s="92"/>
      <c r="D737" s="92"/>
    </row>
    <row r="738">
      <c r="A738" s="80">
        <v>737.0</v>
      </c>
      <c r="B738" s="80" t="s">
        <v>1580</v>
      </c>
      <c r="C738" s="92"/>
      <c r="D738" s="92"/>
    </row>
    <row r="739">
      <c r="A739" s="80">
        <v>738.0</v>
      </c>
      <c r="B739" s="80" t="s">
        <v>1582</v>
      </c>
      <c r="C739" s="92"/>
      <c r="D739" s="92"/>
    </row>
    <row r="740">
      <c r="A740" s="80">
        <v>739.0</v>
      </c>
      <c r="B740" s="80" t="s">
        <v>1580</v>
      </c>
      <c r="C740" s="92"/>
      <c r="D740" s="92"/>
    </row>
    <row r="741">
      <c r="A741" s="80">
        <v>740.0</v>
      </c>
      <c r="B741" s="80" t="s">
        <v>1582</v>
      </c>
      <c r="C741" s="92"/>
      <c r="D741" s="92"/>
    </row>
    <row r="742">
      <c r="A742" s="80">
        <v>741.0</v>
      </c>
      <c r="B742" s="80" t="s">
        <v>1580</v>
      </c>
      <c r="C742" s="92"/>
      <c r="D742" s="92"/>
    </row>
    <row r="743">
      <c r="A743" s="80">
        <v>742.0</v>
      </c>
      <c r="B743" s="80" t="s">
        <v>1582</v>
      </c>
      <c r="C743" s="92"/>
      <c r="D743" s="92"/>
    </row>
    <row r="744">
      <c r="A744" s="80">
        <v>743.0</v>
      </c>
      <c r="B744" s="80" t="s">
        <v>1580</v>
      </c>
      <c r="C744" s="92"/>
      <c r="D744" s="92"/>
    </row>
    <row r="745">
      <c r="A745" s="80">
        <v>744.0</v>
      </c>
      <c r="B745" s="80" t="s">
        <v>1582</v>
      </c>
      <c r="C745" s="92"/>
      <c r="D745" s="92"/>
    </row>
    <row r="746">
      <c r="A746" s="80">
        <v>745.0</v>
      </c>
      <c r="B746" s="80" t="s">
        <v>1580</v>
      </c>
      <c r="C746" s="92"/>
      <c r="D746" s="92"/>
    </row>
    <row r="747">
      <c r="A747" s="80">
        <v>746.0</v>
      </c>
      <c r="B747" s="80" t="s">
        <v>1582</v>
      </c>
      <c r="C747" s="92"/>
      <c r="D747" s="92"/>
    </row>
    <row r="748">
      <c r="A748" s="80">
        <v>747.0</v>
      </c>
      <c r="B748" s="80" t="s">
        <v>1580</v>
      </c>
      <c r="C748" s="92"/>
      <c r="D748" s="92"/>
    </row>
    <row r="749">
      <c r="A749" s="80">
        <v>748.0</v>
      </c>
      <c r="B749" s="80" t="s">
        <v>1582</v>
      </c>
      <c r="C749" s="92"/>
      <c r="D749" s="92"/>
    </row>
    <row r="750">
      <c r="A750" s="80">
        <v>749.0</v>
      </c>
      <c r="B750" s="80" t="s">
        <v>1580</v>
      </c>
      <c r="C750" s="92"/>
      <c r="D750" s="92"/>
    </row>
    <row r="751">
      <c r="A751" s="80">
        <v>750.0</v>
      </c>
      <c r="B751" s="80" t="s">
        <v>1582</v>
      </c>
      <c r="C751" s="92"/>
      <c r="D751" s="92"/>
    </row>
    <row r="752">
      <c r="A752" s="80">
        <v>751.0</v>
      </c>
      <c r="B752" s="80" t="s">
        <v>1580</v>
      </c>
      <c r="C752" s="92"/>
      <c r="D752" s="92"/>
    </row>
    <row r="753">
      <c r="A753" s="80">
        <v>752.0</v>
      </c>
      <c r="B753" s="80" t="s">
        <v>1582</v>
      </c>
      <c r="C753" s="92"/>
      <c r="D753" s="92"/>
    </row>
    <row r="754">
      <c r="A754" s="80">
        <v>753.0</v>
      </c>
      <c r="B754" s="80" t="s">
        <v>1580</v>
      </c>
      <c r="C754" s="92"/>
      <c r="D754" s="92"/>
    </row>
    <row r="755">
      <c r="A755" s="80">
        <v>754.0</v>
      </c>
      <c r="B755" s="80" t="s">
        <v>1582</v>
      </c>
      <c r="C755" s="92"/>
      <c r="D755" s="92"/>
    </row>
    <row r="756">
      <c r="A756" s="80">
        <v>755.0</v>
      </c>
      <c r="B756" s="80" t="s">
        <v>1580</v>
      </c>
      <c r="C756" s="92"/>
      <c r="D756" s="92"/>
    </row>
    <row r="757">
      <c r="A757" s="80">
        <v>756.0</v>
      </c>
      <c r="B757" s="80" t="s">
        <v>1582</v>
      </c>
      <c r="C757" s="92"/>
      <c r="D757" s="92"/>
    </row>
    <row r="758">
      <c r="A758" s="80">
        <v>757.0</v>
      </c>
      <c r="B758" s="80" t="s">
        <v>1580</v>
      </c>
      <c r="C758" s="92"/>
      <c r="D758" s="92"/>
    </row>
    <row r="759">
      <c r="A759" s="80">
        <v>758.0</v>
      </c>
      <c r="B759" s="80" t="s">
        <v>1582</v>
      </c>
      <c r="C759" s="92"/>
      <c r="D759" s="92"/>
    </row>
    <row r="760">
      <c r="A760" s="80">
        <v>759.0</v>
      </c>
      <c r="B760" s="80" t="s">
        <v>1580</v>
      </c>
      <c r="C760" s="92"/>
      <c r="D760" s="92"/>
    </row>
    <row r="761">
      <c r="A761" s="80">
        <v>760.0</v>
      </c>
      <c r="B761" s="80" t="s">
        <v>1582</v>
      </c>
      <c r="C761" s="92"/>
      <c r="D761" s="92"/>
    </row>
    <row r="762">
      <c r="A762" s="80">
        <v>761.0</v>
      </c>
      <c r="B762" s="80" t="s">
        <v>1580</v>
      </c>
      <c r="C762" s="92"/>
      <c r="D762" s="92"/>
    </row>
    <row r="763">
      <c r="A763" s="80">
        <v>762.0</v>
      </c>
      <c r="B763" s="80" t="s">
        <v>1582</v>
      </c>
      <c r="C763" s="92"/>
      <c r="D763" s="92"/>
    </row>
    <row r="764">
      <c r="A764" s="80">
        <v>763.0</v>
      </c>
      <c r="B764" s="80" t="s">
        <v>1580</v>
      </c>
      <c r="C764" s="92"/>
      <c r="D764" s="92"/>
    </row>
    <row r="765">
      <c r="A765" s="80">
        <v>764.0</v>
      </c>
      <c r="B765" s="80" t="s">
        <v>1582</v>
      </c>
      <c r="C765" s="92"/>
      <c r="D765" s="92"/>
    </row>
    <row r="766">
      <c r="A766" s="80">
        <v>765.0</v>
      </c>
      <c r="B766" s="80" t="s">
        <v>1580</v>
      </c>
      <c r="C766" s="92"/>
      <c r="D766" s="92"/>
    </row>
    <row r="767">
      <c r="A767" s="80">
        <v>766.0</v>
      </c>
      <c r="B767" s="80" t="s">
        <v>1582</v>
      </c>
      <c r="C767" s="92"/>
      <c r="D767" s="92"/>
    </row>
    <row r="768">
      <c r="A768" s="80">
        <v>767.0</v>
      </c>
      <c r="B768" s="80" t="s">
        <v>1580</v>
      </c>
      <c r="C768" s="92"/>
      <c r="D768" s="92"/>
    </row>
    <row r="769">
      <c r="A769" s="80">
        <v>768.0</v>
      </c>
      <c r="B769" s="80" t="s">
        <v>1582</v>
      </c>
      <c r="C769" s="92"/>
      <c r="D769" s="92"/>
    </row>
    <row r="770">
      <c r="A770" s="80">
        <v>769.0</v>
      </c>
      <c r="B770" s="80" t="s">
        <v>1580</v>
      </c>
      <c r="C770" s="92"/>
      <c r="D770" s="92"/>
    </row>
    <row r="771">
      <c r="A771" s="80">
        <v>770.0</v>
      </c>
      <c r="B771" s="80" t="s">
        <v>1582</v>
      </c>
      <c r="C771" s="92"/>
      <c r="D771" s="92"/>
    </row>
    <row r="772">
      <c r="A772" s="80">
        <v>771.0</v>
      </c>
      <c r="B772" s="80" t="s">
        <v>1580</v>
      </c>
      <c r="C772" s="92"/>
      <c r="D772" s="92"/>
    </row>
    <row r="773">
      <c r="A773" s="80">
        <v>772.0</v>
      </c>
      <c r="B773" s="80" t="s">
        <v>1582</v>
      </c>
      <c r="C773" s="92"/>
      <c r="D773" s="92"/>
    </row>
    <row r="774">
      <c r="A774" s="80">
        <v>773.0</v>
      </c>
      <c r="B774" s="80" t="s">
        <v>1580</v>
      </c>
      <c r="C774" s="92"/>
      <c r="D774" s="92"/>
    </row>
    <row r="775">
      <c r="A775" s="80">
        <v>774.0</v>
      </c>
      <c r="B775" s="80" t="s">
        <v>1582</v>
      </c>
      <c r="C775" s="92"/>
      <c r="D775" s="92"/>
    </row>
    <row r="776">
      <c r="A776" s="80">
        <v>775.0</v>
      </c>
      <c r="B776" s="80" t="s">
        <v>1580</v>
      </c>
      <c r="C776" s="92"/>
      <c r="D776" s="92"/>
    </row>
    <row r="777">
      <c r="A777" s="80">
        <v>776.0</v>
      </c>
      <c r="B777" s="80" t="s">
        <v>1582</v>
      </c>
      <c r="C777" s="92"/>
      <c r="D777" s="92"/>
    </row>
    <row r="778">
      <c r="A778" s="80">
        <v>777.0</v>
      </c>
      <c r="B778" s="80" t="s">
        <v>1580</v>
      </c>
      <c r="C778" s="92"/>
      <c r="D778" s="92"/>
    </row>
    <row r="779">
      <c r="A779" s="80">
        <v>778.0</v>
      </c>
      <c r="B779" s="80" t="s">
        <v>1582</v>
      </c>
      <c r="C779" s="92"/>
      <c r="D779" s="92"/>
    </row>
    <row r="780">
      <c r="A780" s="80">
        <v>779.0</v>
      </c>
      <c r="B780" s="80" t="s">
        <v>1580</v>
      </c>
      <c r="C780" s="92"/>
      <c r="D780" s="92"/>
    </row>
    <row r="781">
      <c r="A781" s="80">
        <v>780.0</v>
      </c>
      <c r="B781" s="80" t="s">
        <v>1582</v>
      </c>
      <c r="C781" s="92"/>
      <c r="D781" s="92"/>
    </row>
    <row r="782">
      <c r="A782" s="80">
        <v>781.0</v>
      </c>
      <c r="B782" s="80" t="s">
        <v>1580</v>
      </c>
      <c r="C782" s="92"/>
      <c r="D782" s="92"/>
    </row>
    <row r="783">
      <c r="A783" s="80">
        <v>782.0</v>
      </c>
      <c r="B783" s="80" t="s">
        <v>1582</v>
      </c>
      <c r="C783" s="92"/>
      <c r="D783" s="92"/>
    </row>
    <row r="784">
      <c r="A784" s="80">
        <v>783.0</v>
      </c>
      <c r="B784" s="80" t="s">
        <v>1580</v>
      </c>
      <c r="C784" s="92"/>
      <c r="D784" s="92"/>
    </row>
    <row r="785">
      <c r="A785" s="80">
        <v>784.0</v>
      </c>
      <c r="B785" s="80" t="s">
        <v>1582</v>
      </c>
      <c r="C785" s="92"/>
      <c r="D785" s="92"/>
    </row>
    <row r="786">
      <c r="A786" s="80">
        <v>785.0</v>
      </c>
      <c r="B786" s="80" t="s">
        <v>1580</v>
      </c>
      <c r="C786" s="92"/>
      <c r="D786" s="92"/>
    </row>
    <row r="787">
      <c r="A787" s="80">
        <v>786.0</v>
      </c>
      <c r="B787" s="80" t="s">
        <v>1582</v>
      </c>
      <c r="C787" s="92"/>
      <c r="D787" s="92"/>
    </row>
    <row r="788">
      <c r="A788" s="80">
        <v>787.0</v>
      </c>
      <c r="B788" s="80" t="s">
        <v>1580</v>
      </c>
      <c r="C788" s="92"/>
      <c r="D788" s="92"/>
    </row>
    <row r="789">
      <c r="A789" s="80">
        <v>788.0</v>
      </c>
      <c r="B789" s="80" t="s">
        <v>1582</v>
      </c>
      <c r="C789" s="92"/>
      <c r="D789" s="92"/>
    </row>
    <row r="790">
      <c r="A790" s="80">
        <v>789.0</v>
      </c>
      <c r="B790" s="80" t="s">
        <v>1580</v>
      </c>
      <c r="C790" s="92"/>
      <c r="D790" s="92"/>
    </row>
    <row r="791">
      <c r="A791" s="80">
        <v>790.0</v>
      </c>
      <c r="B791" s="80" t="s">
        <v>1582</v>
      </c>
      <c r="C791" s="92"/>
      <c r="D791" s="92"/>
    </row>
    <row r="792">
      <c r="A792" s="80">
        <v>791.0</v>
      </c>
      <c r="B792" s="80" t="s">
        <v>1580</v>
      </c>
      <c r="C792" s="92"/>
      <c r="D792" s="92"/>
    </row>
    <row r="793">
      <c r="A793" s="80">
        <v>792.0</v>
      </c>
      <c r="B793" s="80" t="s">
        <v>1582</v>
      </c>
      <c r="C793" s="92"/>
      <c r="D793" s="92"/>
    </row>
    <row r="794">
      <c r="A794" s="80">
        <v>793.0</v>
      </c>
      <c r="B794" s="80" t="s">
        <v>1580</v>
      </c>
      <c r="C794" s="92"/>
      <c r="D794" s="92"/>
    </row>
    <row r="795">
      <c r="A795" s="80">
        <v>794.0</v>
      </c>
      <c r="B795" s="80" t="s">
        <v>1582</v>
      </c>
      <c r="C795" s="92"/>
      <c r="D795" s="92"/>
    </row>
    <row r="796">
      <c r="A796" s="80">
        <v>795.0</v>
      </c>
      <c r="B796" s="80" t="s">
        <v>1580</v>
      </c>
      <c r="C796" s="92"/>
      <c r="D796" s="92"/>
    </row>
    <row r="797">
      <c r="A797" s="80">
        <v>796.0</v>
      </c>
      <c r="B797" s="80" t="s">
        <v>1582</v>
      </c>
      <c r="C797" s="92"/>
      <c r="D797" s="92"/>
    </row>
    <row r="798">
      <c r="A798" s="80">
        <v>797.0</v>
      </c>
      <c r="B798" s="80" t="s">
        <v>1580</v>
      </c>
      <c r="C798" s="92"/>
      <c r="D798" s="92"/>
    </row>
    <row r="799">
      <c r="A799" s="80">
        <v>798.0</v>
      </c>
      <c r="B799" s="80" t="s">
        <v>1582</v>
      </c>
      <c r="C799" s="92"/>
      <c r="D799" s="92"/>
    </row>
    <row r="800">
      <c r="A800" s="80">
        <v>799.0</v>
      </c>
      <c r="B800" s="80" t="s">
        <v>1580</v>
      </c>
      <c r="C800" s="92"/>
      <c r="D800" s="92"/>
    </row>
    <row r="801">
      <c r="A801" s="80">
        <v>800.0</v>
      </c>
      <c r="B801" s="80" t="s">
        <v>1582</v>
      </c>
      <c r="C801" s="92"/>
      <c r="D801" s="92"/>
    </row>
    <row r="802">
      <c r="A802" s="80">
        <v>801.0</v>
      </c>
      <c r="B802" s="80" t="s">
        <v>1580</v>
      </c>
      <c r="C802" s="92"/>
      <c r="D802" s="92"/>
    </row>
    <row r="803">
      <c r="A803" s="80">
        <v>802.0</v>
      </c>
      <c r="B803" s="80" t="s">
        <v>1582</v>
      </c>
      <c r="C803" s="92"/>
      <c r="D803" s="92"/>
    </row>
    <row r="804">
      <c r="A804" s="80">
        <v>803.0</v>
      </c>
      <c r="B804" s="80" t="s">
        <v>1580</v>
      </c>
      <c r="C804" s="92"/>
      <c r="D804" s="92"/>
    </row>
    <row r="805">
      <c r="A805" s="80">
        <v>804.0</v>
      </c>
      <c r="B805" s="80" t="s">
        <v>1582</v>
      </c>
      <c r="C805" s="92"/>
      <c r="D805" s="92"/>
    </row>
    <row r="806">
      <c r="A806" s="80">
        <v>805.0</v>
      </c>
      <c r="B806" s="80" t="s">
        <v>1580</v>
      </c>
      <c r="C806" s="92"/>
      <c r="D806" s="92"/>
    </row>
    <row r="807">
      <c r="A807" s="80">
        <v>806.0</v>
      </c>
      <c r="B807" s="80" t="s">
        <v>1582</v>
      </c>
      <c r="C807" s="92"/>
      <c r="D807" s="92"/>
    </row>
    <row r="808">
      <c r="A808" s="80">
        <v>807.0</v>
      </c>
      <c r="B808" s="80" t="s">
        <v>1580</v>
      </c>
      <c r="C808" s="92"/>
      <c r="D808" s="92"/>
    </row>
    <row r="809">
      <c r="A809" s="80">
        <v>808.0</v>
      </c>
      <c r="B809" s="80" t="s">
        <v>1582</v>
      </c>
      <c r="C809" s="92"/>
      <c r="D809" s="92"/>
    </row>
    <row r="810">
      <c r="A810" s="80">
        <v>809.0</v>
      </c>
      <c r="B810" s="80" t="s">
        <v>1580</v>
      </c>
      <c r="C810" s="92"/>
      <c r="D810" s="92"/>
    </row>
    <row r="811">
      <c r="A811" s="80">
        <v>810.0</v>
      </c>
      <c r="B811" s="80" t="s">
        <v>1582</v>
      </c>
      <c r="C811" s="92"/>
      <c r="D811" s="92"/>
    </row>
    <row r="812">
      <c r="A812" s="80">
        <v>811.0</v>
      </c>
      <c r="B812" s="80" t="s">
        <v>1580</v>
      </c>
      <c r="C812" s="92"/>
      <c r="D812" s="92"/>
    </row>
    <row r="813">
      <c r="A813" s="80">
        <v>812.0</v>
      </c>
      <c r="B813" s="80" t="s">
        <v>1582</v>
      </c>
      <c r="C813" s="92"/>
      <c r="D813" s="92"/>
    </row>
    <row r="814">
      <c r="A814" s="80">
        <v>813.0</v>
      </c>
      <c r="B814" s="80" t="s">
        <v>1580</v>
      </c>
      <c r="C814" s="92"/>
      <c r="D814" s="92"/>
    </row>
    <row r="815">
      <c r="A815" s="80">
        <v>814.0</v>
      </c>
      <c r="B815" s="80" t="s">
        <v>1582</v>
      </c>
      <c r="C815" s="92"/>
      <c r="D815" s="92"/>
    </row>
    <row r="816">
      <c r="A816" s="80">
        <v>815.0</v>
      </c>
      <c r="B816" s="80" t="s">
        <v>1580</v>
      </c>
      <c r="C816" s="92"/>
      <c r="D816" s="92"/>
    </row>
    <row r="817">
      <c r="A817" s="80">
        <v>816.0</v>
      </c>
      <c r="B817" s="80" t="s">
        <v>1582</v>
      </c>
      <c r="C817" s="92"/>
      <c r="D817" s="92"/>
    </row>
    <row r="818">
      <c r="A818" s="80">
        <v>817.0</v>
      </c>
      <c r="B818" s="80" t="s">
        <v>1580</v>
      </c>
      <c r="C818" s="92"/>
      <c r="D818" s="92"/>
    </row>
    <row r="819">
      <c r="A819" s="80">
        <v>818.0</v>
      </c>
      <c r="B819" s="80" t="s">
        <v>1582</v>
      </c>
      <c r="C819" s="92"/>
      <c r="D819" s="92"/>
    </row>
    <row r="820">
      <c r="A820" s="80">
        <v>819.0</v>
      </c>
      <c r="B820" s="80" t="s">
        <v>1580</v>
      </c>
      <c r="C820" s="92"/>
      <c r="D820" s="92"/>
    </row>
    <row r="821">
      <c r="A821" s="80">
        <v>820.0</v>
      </c>
      <c r="B821" s="80" t="s">
        <v>1582</v>
      </c>
      <c r="C821" s="92"/>
      <c r="D821" s="92"/>
    </row>
    <row r="822">
      <c r="A822" s="80">
        <v>821.0</v>
      </c>
      <c r="B822" s="80" t="s">
        <v>1580</v>
      </c>
      <c r="C822" s="92"/>
      <c r="D822" s="92"/>
    </row>
    <row r="823">
      <c r="A823" s="80">
        <v>822.0</v>
      </c>
      <c r="B823" s="80" t="s">
        <v>1582</v>
      </c>
      <c r="C823" s="92"/>
      <c r="D823" s="92"/>
    </row>
    <row r="824">
      <c r="A824" s="80">
        <v>823.0</v>
      </c>
      <c r="B824" s="80" t="s">
        <v>1580</v>
      </c>
      <c r="C824" s="92"/>
      <c r="D824" s="92"/>
    </row>
    <row r="825">
      <c r="A825" s="80">
        <v>824.0</v>
      </c>
      <c r="B825" s="80" t="s">
        <v>1582</v>
      </c>
      <c r="C825" s="92"/>
      <c r="D825" s="92"/>
    </row>
    <row r="826">
      <c r="A826" s="80">
        <v>825.0</v>
      </c>
      <c r="B826" s="80" t="s">
        <v>1580</v>
      </c>
      <c r="C826" s="92"/>
      <c r="D826" s="92"/>
    </row>
    <row r="827">
      <c r="A827" s="80">
        <v>826.0</v>
      </c>
      <c r="B827" s="80" t="s">
        <v>1582</v>
      </c>
      <c r="C827" s="92"/>
      <c r="D827" s="92"/>
    </row>
    <row r="828">
      <c r="A828" s="80">
        <v>827.0</v>
      </c>
      <c r="B828" s="80" t="s">
        <v>1580</v>
      </c>
      <c r="C828" s="92"/>
      <c r="D828" s="92"/>
    </row>
    <row r="829">
      <c r="A829" s="80">
        <v>828.0</v>
      </c>
      <c r="B829" s="80" t="s">
        <v>1582</v>
      </c>
      <c r="C829" s="92"/>
      <c r="D829" s="92"/>
    </row>
    <row r="830">
      <c r="A830" s="80">
        <v>829.0</v>
      </c>
      <c r="B830" s="80" t="s">
        <v>1580</v>
      </c>
      <c r="C830" s="92"/>
      <c r="D830" s="92"/>
    </row>
    <row r="831">
      <c r="A831" s="80">
        <v>830.0</v>
      </c>
      <c r="B831" s="80" t="s">
        <v>1582</v>
      </c>
      <c r="C831" s="92"/>
      <c r="D831" s="92"/>
    </row>
    <row r="832">
      <c r="A832" s="80">
        <v>831.0</v>
      </c>
      <c r="B832" s="80" t="s">
        <v>1580</v>
      </c>
      <c r="C832" s="92"/>
      <c r="D832" s="92"/>
    </row>
    <row r="833">
      <c r="A833" s="80">
        <v>832.0</v>
      </c>
      <c r="B833" s="80" t="s">
        <v>1582</v>
      </c>
      <c r="C833" s="92"/>
      <c r="D833" s="92"/>
    </row>
    <row r="834">
      <c r="A834" s="80">
        <v>833.0</v>
      </c>
      <c r="B834" s="80" t="s">
        <v>1580</v>
      </c>
      <c r="C834" s="92"/>
      <c r="D834" s="92"/>
    </row>
    <row r="835">
      <c r="A835" s="80">
        <v>834.0</v>
      </c>
      <c r="B835" s="80" t="s">
        <v>1582</v>
      </c>
      <c r="C835" s="92"/>
      <c r="D835" s="92"/>
    </row>
    <row r="836">
      <c r="A836" s="80">
        <v>835.0</v>
      </c>
      <c r="B836" s="80" t="s">
        <v>1580</v>
      </c>
      <c r="C836" s="92"/>
      <c r="D836" s="92"/>
    </row>
    <row r="837">
      <c r="A837" s="80">
        <v>836.0</v>
      </c>
      <c r="B837" s="80" t="s">
        <v>1582</v>
      </c>
      <c r="C837" s="92"/>
      <c r="D837" s="92"/>
    </row>
    <row r="838">
      <c r="A838" s="80">
        <v>837.0</v>
      </c>
      <c r="B838" s="80" t="s">
        <v>1580</v>
      </c>
      <c r="C838" s="92"/>
      <c r="D838" s="92"/>
    </row>
    <row r="839">
      <c r="A839" s="80">
        <v>838.0</v>
      </c>
      <c r="B839" s="80" t="s">
        <v>1582</v>
      </c>
      <c r="C839" s="92"/>
      <c r="D839" s="92"/>
    </row>
    <row r="840">
      <c r="A840" s="80">
        <v>839.0</v>
      </c>
      <c r="B840" s="80" t="s">
        <v>1580</v>
      </c>
      <c r="C840" s="92"/>
      <c r="D840" s="92"/>
    </row>
    <row r="841">
      <c r="A841" s="80">
        <v>840.0</v>
      </c>
      <c r="B841" s="80" t="s">
        <v>1582</v>
      </c>
      <c r="C841" s="92"/>
      <c r="D841" s="92"/>
    </row>
    <row r="842">
      <c r="A842" s="80">
        <v>841.0</v>
      </c>
      <c r="B842" s="80" t="s">
        <v>1580</v>
      </c>
      <c r="C842" s="92"/>
      <c r="D842" s="92"/>
    </row>
    <row r="843">
      <c r="A843" s="80">
        <v>842.0</v>
      </c>
      <c r="B843" s="80" t="s">
        <v>1582</v>
      </c>
      <c r="C843" s="92"/>
      <c r="D843" s="92"/>
    </row>
    <row r="844">
      <c r="A844" s="80">
        <v>843.0</v>
      </c>
      <c r="B844" s="80" t="s">
        <v>1580</v>
      </c>
      <c r="C844" s="92"/>
      <c r="D844" s="92"/>
    </row>
    <row r="845">
      <c r="A845" s="80">
        <v>844.0</v>
      </c>
      <c r="B845" s="80" t="s">
        <v>1582</v>
      </c>
      <c r="C845" s="92"/>
      <c r="D845" s="92"/>
    </row>
    <row r="846">
      <c r="A846" s="80">
        <v>845.0</v>
      </c>
      <c r="B846" s="80" t="s">
        <v>1580</v>
      </c>
      <c r="C846" s="92"/>
      <c r="D846" s="92"/>
    </row>
    <row r="847">
      <c r="A847" s="80">
        <v>846.0</v>
      </c>
      <c r="B847" s="80" t="s">
        <v>1582</v>
      </c>
      <c r="C847" s="92"/>
      <c r="D847" s="92"/>
    </row>
    <row r="848">
      <c r="A848" s="80">
        <v>847.0</v>
      </c>
      <c r="B848" s="80" t="s">
        <v>1580</v>
      </c>
      <c r="C848" s="92"/>
      <c r="D848" s="92"/>
    </row>
    <row r="849">
      <c r="A849" s="80">
        <v>848.0</v>
      </c>
      <c r="B849" s="80" t="s">
        <v>1582</v>
      </c>
      <c r="C849" s="92"/>
      <c r="D849" s="92"/>
    </row>
    <row r="850">
      <c r="A850" s="80">
        <v>849.0</v>
      </c>
      <c r="B850" s="80" t="s">
        <v>1580</v>
      </c>
      <c r="C850" s="92"/>
      <c r="D850" s="92"/>
    </row>
    <row r="851">
      <c r="A851" s="80">
        <v>850.0</v>
      </c>
      <c r="B851" s="80" t="s">
        <v>1582</v>
      </c>
      <c r="C851" s="92"/>
      <c r="D851" s="92"/>
    </row>
    <row r="852">
      <c r="A852" s="80">
        <v>851.0</v>
      </c>
      <c r="B852" s="80" t="s">
        <v>1580</v>
      </c>
      <c r="C852" s="92"/>
      <c r="D852" s="92"/>
    </row>
    <row r="853">
      <c r="A853" s="80">
        <v>852.0</v>
      </c>
      <c r="B853" s="80" t="s">
        <v>1582</v>
      </c>
      <c r="C853" s="92"/>
      <c r="D853" s="92"/>
    </row>
    <row r="854">
      <c r="A854" s="80">
        <v>853.0</v>
      </c>
      <c r="B854" s="80" t="s">
        <v>1580</v>
      </c>
      <c r="C854" s="92"/>
      <c r="D854" s="92"/>
    </row>
    <row r="855">
      <c r="A855" s="80">
        <v>854.0</v>
      </c>
      <c r="B855" s="80" t="s">
        <v>1582</v>
      </c>
      <c r="C855" s="92"/>
      <c r="D855" s="92"/>
    </row>
    <row r="856">
      <c r="A856" s="80">
        <v>855.0</v>
      </c>
      <c r="B856" s="80" t="s">
        <v>1580</v>
      </c>
      <c r="C856" s="92"/>
      <c r="D856" s="92"/>
    </row>
    <row r="857">
      <c r="A857" s="80">
        <v>856.0</v>
      </c>
      <c r="B857" s="80" t="s">
        <v>1582</v>
      </c>
      <c r="C857" s="92"/>
      <c r="D857" s="92"/>
    </row>
    <row r="858">
      <c r="A858" s="80">
        <v>857.0</v>
      </c>
      <c r="B858" s="80" t="s">
        <v>1580</v>
      </c>
      <c r="C858" s="92"/>
      <c r="D858" s="92"/>
    </row>
    <row r="859">
      <c r="A859" s="80">
        <v>858.0</v>
      </c>
      <c r="B859" s="80" t="s">
        <v>1582</v>
      </c>
      <c r="C859" s="92"/>
      <c r="D859" s="92"/>
    </row>
    <row r="860">
      <c r="A860" s="80">
        <v>859.0</v>
      </c>
      <c r="B860" s="80" t="s">
        <v>1580</v>
      </c>
      <c r="C860" s="92"/>
      <c r="D860" s="92"/>
    </row>
    <row r="861">
      <c r="A861" s="80">
        <v>860.0</v>
      </c>
      <c r="B861" s="80" t="s">
        <v>1582</v>
      </c>
      <c r="C861" s="92"/>
      <c r="D861" s="92"/>
    </row>
    <row r="862">
      <c r="A862" s="80">
        <v>861.0</v>
      </c>
      <c r="B862" s="80" t="s">
        <v>1580</v>
      </c>
      <c r="C862" s="92"/>
      <c r="D862" s="92"/>
    </row>
    <row r="863">
      <c r="A863" s="80">
        <v>862.0</v>
      </c>
      <c r="B863" s="80" t="s">
        <v>1582</v>
      </c>
      <c r="C863" s="92"/>
      <c r="D863" s="92"/>
    </row>
    <row r="864">
      <c r="A864" s="80">
        <v>863.0</v>
      </c>
      <c r="B864" s="80" t="s">
        <v>1580</v>
      </c>
      <c r="C864" s="92"/>
      <c r="D864" s="92"/>
    </row>
    <row r="865">
      <c r="A865" s="80">
        <v>864.0</v>
      </c>
      <c r="B865" s="80" t="s">
        <v>1582</v>
      </c>
      <c r="C865" s="92"/>
      <c r="D865" s="92"/>
    </row>
    <row r="866">
      <c r="A866" s="80">
        <v>865.0</v>
      </c>
      <c r="B866" s="80" t="s">
        <v>1580</v>
      </c>
      <c r="C866" s="92"/>
      <c r="D866" s="92"/>
    </row>
    <row r="867">
      <c r="A867" s="80">
        <v>866.0</v>
      </c>
      <c r="B867" s="80" t="s">
        <v>1582</v>
      </c>
      <c r="C867" s="92"/>
      <c r="D867" s="92"/>
    </row>
    <row r="868">
      <c r="A868" s="80">
        <v>867.0</v>
      </c>
      <c r="B868" s="80" t="s">
        <v>1580</v>
      </c>
      <c r="C868" s="92"/>
      <c r="D868" s="92"/>
    </row>
    <row r="869">
      <c r="A869" s="80">
        <v>868.0</v>
      </c>
      <c r="B869" s="80" t="s">
        <v>1582</v>
      </c>
      <c r="C869" s="92"/>
      <c r="D869" s="92"/>
    </row>
    <row r="870">
      <c r="A870" s="80">
        <v>869.0</v>
      </c>
      <c r="B870" s="80" t="s">
        <v>1580</v>
      </c>
      <c r="C870" s="92"/>
      <c r="D870" s="92"/>
    </row>
    <row r="871">
      <c r="A871" s="80">
        <v>870.0</v>
      </c>
      <c r="B871" s="80" t="s">
        <v>1582</v>
      </c>
      <c r="C871" s="92"/>
      <c r="D871" s="92"/>
    </row>
    <row r="872">
      <c r="A872" s="80">
        <v>871.0</v>
      </c>
      <c r="B872" s="80" t="s">
        <v>1580</v>
      </c>
      <c r="C872" s="92"/>
      <c r="D872" s="92"/>
    </row>
    <row r="873">
      <c r="A873" s="80">
        <v>872.0</v>
      </c>
      <c r="B873" s="80" t="s">
        <v>1582</v>
      </c>
      <c r="C873" s="92"/>
      <c r="D873" s="92"/>
    </row>
    <row r="874">
      <c r="A874" s="80">
        <v>873.0</v>
      </c>
      <c r="B874" s="80" t="s">
        <v>1580</v>
      </c>
      <c r="C874" s="92"/>
      <c r="D874" s="92"/>
    </row>
    <row r="875">
      <c r="A875" s="80">
        <v>874.0</v>
      </c>
      <c r="B875" s="80" t="s">
        <v>1582</v>
      </c>
      <c r="C875" s="92"/>
      <c r="D875" s="92"/>
    </row>
    <row r="876">
      <c r="A876" s="80">
        <v>875.0</v>
      </c>
      <c r="B876" s="80" t="s">
        <v>1580</v>
      </c>
      <c r="C876" s="92"/>
      <c r="D876" s="92"/>
    </row>
    <row r="877">
      <c r="A877" s="80">
        <v>876.0</v>
      </c>
      <c r="B877" s="80" t="s">
        <v>1582</v>
      </c>
      <c r="C877" s="92"/>
      <c r="D877" s="92"/>
    </row>
    <row r="878">
      <c r="A878" s="80">
        <v>877.0</v>
      </c>
      <c r="B878" s="80" t="s">
        <v>1580</v>
      </c>
      <c r="C878" s="92"/>
      <c r="D878" s="92"/>
    </row>
    <row r="879">
      <c r="A879" s="80">
        <v>878.0</v>
      </c>
      <c r="B879" s="80" t="s">
        <v>1582</v>
      </c>
      <c r="C879" s="92"/>
      <c r="D879" s="92"/>
    </row>
    <row r="880">
      <c r="A880" s="80">
        <v>879.0</v>
      </c>
      <c r="B880" s="80" t="s">
        <v>1580</v>
      </c>
      <c r="C880" s="92"/>
      <c r="D880" s="92"/>
    </row>
    <row r="881">
      <c r="A881" s="80">
        <v>880.0</v>
      </c>
      <c r="B881" s="80" t="s">
        <v>1582</v>
      </c>
      <c r="C881" s="92"/>
      <c r="D881" s="92"/>
    </row>
    <row r="882">
      <c r="A882" s="80">
        <v>881.0</v>
      </c>
      <c r="B882" s="80" t="s">
        <v>1580</v>
      </c>
      <c r="C882" s="92"/>
      <c r="D882" s="92"/>
    </row>
    <row r="883">
      <c r="A883" s="80">
        <v>882.0</v>
      </c>
      <c r="B883" s="80" t="s">
        <v>1582</v>
      </c>
      <c r="C883" s="92"/>
      <c r="D883" s="92"/>
    </row>
    <row r="884">
      <c r="A884" s="80">
        <v>883.0</v>
      </c>
      <c r="B884" s="80" t="s">
        <v>1580</v>
      </c>
      <c r="C884" s="92"/>
      <c r="D884" s="92"/>
    </row>
    <row r="885">
      <c r="A885" s="80">
        <v>884.0</v>
      </c>
      <c r="B885" s="80" t="s">
        <v>1582</v>
      </c>
      <c r="C885" s="92"/>
      <c r="D885" s="92"/>
    </row>
    <row r="886">
      <c r="A886" s="80">
        <v>885.0</v>
      </c>
      <c r="B886" s="80" t="s">
        <v>1580</v>
      </c>
      <c r="C886" s="92"/>
      <c r="D886" s="92"/>
    </row>
    <row r="887">
      <c r="A887" s="80">
        <v>886.0</v>
      </c>
      <c r="B887" s="80" t="s">
        <v>1582</v>
      </c>
      <c r="C887" s="92"/>
      <c r="D887" s="92"/>
    </row>
    <row r="888">
      <c r="A888" s="80">
        <v>887.0</v>
      </c>
      <c r="B888" s="80" t="s">
        <v>1580</v>
      </c>
      <c r="C888" s="92"/>
      <c r="D888" s="92"/>
    </row>
    <row r="889">
      <c r="A889" s="80">
        <v>888.0</v>
      </c>
      <c r="B889" s="80" t="s">
        <v>1582</v>
      </c>
      <c r="C889" s="92"/>
      <c r="D889" s="92"/>
    </row>
    <row r="890">
      <c r="A890" s="80">
        <v>889.0</v>
      </c>
      <c r="B890" s="80" t="s">
        <v>1580</v>
      </c>
      <c r="C890" s="92"/>
      <c r="D890" s="92"/>
    </row>
    <row r="891">
      <c r="A891" s="80">
        <v>890.0</v>
      </c>
      <c r="B891" s="80" t="s">
        <v>1582</v>
      </c>
      <c r="C891" s="92"/>
      <c r="D891" s="92"/>
    </row>
    <row r="892">
      <c r="A892" s="80">
        <v>891.0</v>
      </c>
      <c r="B892" s="80" t="s">
        <v>1580</v>
      </c>
      <c r="C892" s="92"/>
      <c r="D892" s="92"/>
    </row>
    <row r="893">
      <c r="A893" s="80">
        <v>892.0</v>
      </c>
      <c r="B893" s="80" t="s">
        <v>1582</v>
      </c>
      <c r="C893" s="92"/>
      <c r="D893" s="92"/>
    </row>
    <row r="894">
      <c r="A894" s="80">
        <v>893.0</v>
      </c>
      <c r="B894" s="80" t="s">
        <v>1580</v>
      </c>
      <c r="C894" s="92"/>
      <c r="D894" s="92"/>
    </row>
    <row r="895">
      <c r="A895" s="80">
        <v>894.0</v>
      </c>
      <c r="B895" s="80" t="s">
        <v>1582</v>
      </c>
      <c r="C895" s="92"/>
      <c r="D895" s="92"/>
    </row>
    <row r="896">
      <c r="A896" s="80">
        <v>895.0</v>
      </c>
      <c r="B896" s="80" t="s">
        <v>1580</v>
      </c>
      <c r="C896" s="92"/>
      <c r="D896" s="92"/>
    </row>
    <row r="897">
      <c r="A897" s="80">
        <v>896.0</v>
      </c>
      <c r="B897" s="80" t="s">
        <v>1582</v>
      </c>
      <c r="C897" s="92"/>
      <c r="D897" s="92"/>
    </row>
    <row r="898">
      <c r="A898" s="80">
        <v>897.0</v>
      </c>
      <c r="B898" s="80" t="s">
        <v>1580</v>
      </c>
      <c r="C898" s="92"/>
      <c r="D898" s="92"/>
    </row>
    <row r="899">
      <c r="A899" s="80">
        <v>898.0</v>
      </c>
      <c r="B899" s="80" t="s">
        <v>1582</v>
      </c>
      <c r="C899" s="92"/>
      <c r="D899" s="92"/>
    </row>
    <row r="900">
      <c r="A900" s="80">
        <v>899.0</v>
      </c>
      <c r="B900" s="80" t="s">
        <v>1580</v>
      </c>
      <c r="C900" s="92"/>
      <c r="D900" s="92"/>
    </row>
    <row r="901">
      <c r="A901" s="80">
        <v>900.0</v>
      </c>
      <c r="B901" s="80" t="s">
        <v>1582</v>
      </c>
      <c r="C901" s="92"/>
      <c r="D901" s="92"/>
    </row>
    <row r="902">
      <c r="A902" s="80">
        <v>901.0</v>
      </c>
      <c r="B902" s="80" t="s">
        <v>1580</v>
      </c>
      <c r="C902" s="92"/>
      <c r="D902" s="92"/>
    </row>
    <row r="903">
      <c r="A903" s="80">
        <v>902.0</v>
      </c>
      <c r="B903" s="80" t="s">
        <v>1582</v>
      </c>
      <c r="C903" s="92"/>
      <c r="D903" s="92"/>
    </row>
    <row r="904">
      <c r="A904" s="80">
        <v>903.0</v>
      </c>
      <c r="B904" s="80" t="s">
        <v>1580</v>
      </c>
      <c r="C904" s="92"/>
      <c r="D904" s="92"/>
    </row>
    <row r="905">
      <c r="A905" s="80">
        <v>904.0</v>
      </c>
      <c r="B905" s="80" t="s">
        <v>1582</v>
      </c>
      <c r="C905" s="92"/>
      <c r="D905" s="92"/>
    </row>
    <row r="906">
      <c r="A906" s="80">
        <v>905.0</v>
      </c>
      <c r="B906" s="80" t="s">
        <v>1580</v>
      </c>
      <c r="C906" s="92"/>
      <c r="D906" s="92"/>
    </row>
    <row r="907">
      <c r="A907" s="80">
        <v>906.0</v>
      </c>
      <c r="B907" s="80" t="s">
        <v>1582</v>
      </c>
      <c r="C907" s="92"/>
      <c r="D907" s="92"/>
    </row>
    <row r="908">
      <c r="A908" s="80">
        <v>907.0</v>
      </c>
      <c r="B908" s="80" t="s">
        <v>1580</v>
      </c>
      <c r="C908" s="92"/>
      <c r="D908" s="92"/>
    </row>
    <row r="909">
      <c r="A909" s="80">
        <v>908.0</v>
      </c>
      <c r="B909" s="80" t="s">
        <v>1582</v>
      </c>
      <c r="C909" s="92"/>
      <c r="D909" s="92"/>
    </row>
    <row r="910">
      <c r="A910" s="80">
        <v>909.0</v>
      </c>
      <c r="B910" s="80" t="s">
        <v>1580</v>
      </c>
      <c r="C910" s="92"/>
      <c r="D910" s="92"/>
    </row>
    <row r="911">
      <c r="A911" s="80">
        <v>910.0</v>
      </c>
      <c r="B911" s="80" t="s">
        <v>1582</v>
      </c>
      <c r="C911" s="92"/>
      <c r="D911" s="92"/>
    </row>
    <row r="912">
      <c r="A912" s="80">
        <v>911.0</v>
      </c>
      <c r="B912" s="80" t="s">
        <v>1580</v>
      </c>
      <c r="C912" s="92"/>
      <c r="D912" s="92"/>
    </row>
    <row r="913">
      <c r="A913" s="80">
        <v>912.0</v>
      </c>
      <c r="B913" s="80" t="s">
        <v>1582</v>
      </c>
      <c r="C913" s="92"/>
      <c r="D913" s="92"/>
    </row>
    <row r="914">
      <c r="A914" s="80">
        <v>913.0</v>
      </c>
      <c r="B914" s="80" t="s">
        <v>1580</v>
      </c>
      <c r="C914" s="92"/>
      <c r="D914" s="92"/>
    </row>
    <row r="915">
      <c r="A915" s="80">
        <v>914.0</v>
      </c>
      <c r="B915" s="80" t="s">
        <v>1582</v>
      </c>
      <c r="C915" s="92"/>
      <c r="D915" s="92"/>
    </row>
    <row r="916">
      <c r="A916" s="80">
        <v>915.0</v>
      </c>
      <c r="B916" s="80" t="s">
        <v>1580</v>
      </c>
      <c r="C916" s="92"/>
      <c r="D916" s="92"/>
    </row>
    <row r="917">
      <c r="A917" s="80">
        <v>916.0</v>
      </c>
      <c r="B917" s="80" t="s">
        <v>1582</v>
      </c>
      <c r="C917" s="92"/>
      <c r="D917" s="92"/>
    </row>
    <row r="918">
      <c r="A918" s="80">
        <v>917.0</v>
      </c>
      <c r="B918" s="80" t="s">
        <v>1580</v>
      </c>
      <c r="C918" s="92"/>
      <c r="D918" s="92"/>
    </row>
    <row r="919">
      <c r="A919" s="80">
        <v>918.0</v>
      </c>
      <c r="B919" s="80" t="s">
        <v>1582</v>
      </c>
      <c r="C919" s="92"/>
      <c r="D919" s="92"/>
    </row>
    <row r="920">
      <c r="A920" s="80">
        <v>919.0</v>
      </c>
      <c r="B920" s="80" t="s">
        <v>1580</v>
      </c>
      <c r="C920" s="92"/>
      <c r="D920" s="92"/>
    </row>
    <row r="921">
      <c r="A921" s="80">
        <v>920.0</v>
      </c>
      <c r="B921" s="80" t="s">
        <v>1582</v>
      </c>
      <c r="C921" s="92"/>
      <c r="D921" s="92"/>
    </row>
    <row r="922">
      <c r="A922" s="80">
        <v>921.0</v>
      </c>
      <c r="B922" s="80" t="s">
        <v>1580</v>
      </c>
      <c r="C922" s="92"/>
      <c r="D922" s="92"/>
    </row>
    <row r="923">
      <c r="A923" s="80">
        <v>922.0</v>
      </c>
      <c r="B923" s="80" t="s">
        <v>1582</v>
      </c>
      <c r="C923" s="92"/>
      <c r="D923" s="92"/>
    </row>
    <row r="924">
      <c r="A924" s="80">
        <v>923.0</v>
      </c>
      <c r="B924" s="80" t="s">
        <v>1580</v>
      </c>
      <c r="C924" s="92"/>
      <c r="D924" s="92"/>
    </row>
    <row r="925">
      <c r="A925" s="80">
        <v>924.0</v>
      </c>
      <c r="B925" s="80" t="s">
        <v>1582</v>
      </c>
      <c r="C925" s="92"/>
      <c r="D925" s="92"/>
    </row>
    <row r="926">
      <c r="A926" s="80">
        <v>925.0</v>
      </c>
      <c r="B926" s="80" t="s">
        <v>1580</v>
      </c>
      <c r="C926" s="92"/>
      <c r="D926" s="92"/>
    </row>
    <row r="927">
      <c r="A927" s="80">
        <v>926.0</v>
      </c>
      <c r="B927" s="80" t="s">
        <v>1582</v>
      </c>
      <c r="C927" s="92"/>
      <c r="D927" s="92"/>
    </row>
    <row r="928">
      <c r="A928" s="80">
        <v>927.0</v>
      </c>
      <c r="B928" s="80" t="s">
        <v>1580</v>
      </c>
      <c r="C928" s="92"/>
      <c r="D928" s="92"/>
    </row>
    <row r="929">
      <c r="A929" s="80">
        <v>928.0</v>
      </c>
      <c r="B929" s="80" t="s">
        <v>1582</v>
      </c>
      <c r="C929" s="92"/>
      <c r="D929" s="92"/>
    </row>
    <row r="930">
      <c r="A930" s="80">
        <v>929.0</v>
      </c>
      <c r="B930" s="80" t="s">
        <v>1580</v>
      </c>
      <c r="C930" s="92"/>
      <c r="D930" s="92"/>
    </row>
    <row r="931">
      <c r="A931" s="80">
        <v>930.0</v>
      </c>
      <c r="B931" s="80" t="s">
        <v>1582</v>
      </c>
      <c r="C931" s="92"/>
      <c r="D931" s="92"/>
    </row>
    <row r="932">
      <c r="A932" s="80">
        <v>931.0</v>
      </c>
      <c r="B932" s="80" t="s">
        <v>1580</v>
      </c>
      <c r="C932" s="92"/>
      <c r="D932" s="92"/>
    </row>
    <row r="933">
      <c r="A933" s="80">
        <v>932.0</v>
      </c>
      <c r="B933" s="80" t="s">
        <v>1582</v>
      </c>
      <c r="C933" s="92"/>
      <c r="D933" s="92"/>
    </row>
    <row r="934">
      <c r="A934" s="80">
        <v>933.0</v>
      </c>
      <c r="B934" s="80" t="s">
        <v>1580</v>
      </c>
      <c r="C934" s="92"/>
      <c r="D934" s="92"/>
    </row>
    <row r="935">
      <c r="A935" s="80">
        <v>934.0</v>
      </c>
      <c r="B935" s="80" t="s">
        <v>1582</v>
      </c>
      <c r="C935" s="92"/>
      <c r="D935" s="92"/>
    </row>
    <row r="936">
      <c r="A936" s="80">
        <v>935.0</v>
      </c>
      <c r="B936" s="80" t="s">
        <v>1580</v>
      </c>
      <c r="C936" s="92"/>
      <c r="D936" s="92"/>
    </row>
    <row r="937">
      <c r="A937" s="80">
        <v>936.0</v>
      </c>
      <c r="B937" s="80" t="s">
        <v>1582</v>
      </c>
      <c r="C937" s="92"/>
      <c r="D937" s="92"/>
    </row>
    <row r="938">
      <c r="A938" s="80">
        <v>937.0</v>
      </c>
      <c r="B938" s="80" t="s">
        <v>1580</v>
      </c>
      <c r="C938" s="92"/>
      <c r="D938" s="92"/>
    </row>
    <row r="939">
      <c r="A939" s="80">
        <v>938.0</v>
      </c>
      <c r="B939" s="80" t="s">
        <v>1582</v>
      </c>
      <c r="C939" s="92"/>
      <c r="D939" s="92"/>
    </row>
    <row r="940">
      <c r="A940" s="80">
        <v>939.0</v>
      </c>
      <c r="B940" s="80" t="s">
        <v>1580</v>
      </c>
      <c r="C940" s="92"/>
      <c r="D940" s="92"/>
    </row>
    <row r="941">
      <c r="A941" s="80">
        <v>940.0</v>
      </c>
      <c r="B941" s="80" t="s">
        <v>1582</v>
      </c>
      <c r="C941" s="92"/>
      <c r="D941" s="92"/>
    </row>
    <row r="942">
      <c r="A942" s="80">
        <v>941.0</v>
      </c>
      <c r="B942" s="80" t="s">
        <v>1580</v>
      </c>
      <c r="C942" s="92"/>
      <c r="D942" s="92"/>
    </row>
    <row r="943">
      <c r="A943" s="80">
        <v>942.0</v>
      </c>
      <c r="B943" s="80" t="s">
        <v>1582</v>
      </c>
      <c r="C943" s="92"/>
      <c r="D943" s="92"/>
    </row>
    <row r="944">
      <c r="A944" s="80">
        <v>943.0</v>
      </c>
      <c r="B944" s="80" t="s">
        <v>1580</v>
      </c>
      <c r="C944" s="92"/>
      <c r="D944" s="92"/>
    </row>
    <row r="945">
      <c r="A945" s="80">
        <v>944.0</v>
      </c>
      <c r="B945" s="80" t="s">
        <v>1582</v>
      </c>
      <c r="C945" s="92"/>
      <c r="D945" s="92"/>
    </row>
    <row r="946">
      <c r="A946" s="80">
        <v>945.0</v>
      </c>
      <c r="B946" s="80" t="s">
        <v>1580</v>
      </c>
      <c r="C946" s="92"/>
      <c r="D946" s="92"/>
    </row>
    <row r="947">
      <c r="A947" s="80">
        <v>946.0</v>
      </c>
      <c r="B947" s="80" t="s">
        <v>1582</v>
      </c>
      <c r="C947" s="92"/>
      <c r="D947" s="92"/>
    </row>
    <row r="948">
      <c r="A948" s="80">
        <v>947.0</v>
      </c>
      <c r="B948" s="80" t="s">
        <v>1580</v>
      </c>
      <c r="C948" s="92"/>
      <c r="D948" s="92"/>
    </row>
    <row r="949">
      <c r="A949" s="80">
        <v>948.0</v>
      </c>
      <c r="B949" s="80" t="s">
        <v>1582</v>
      </c>
      <c r="C949" s="92"/>
      <c r="D949" s="92"/>
    </row>
    <row r="950">
      <c r="A950" s="80">
        <v>949.0</v>
      </c>
      <c r="B950" s="80" t="s">
        <v>1580</v>
      </c>
      <c r="C950" s="92"/>
      <c r="D950" s="92"/>
    </row>
    <row r="951">
      <c r="A951" s="80">
        <v>950.0</v>
      </c>
      <c r="B951" s="80" t="s">
        <v>1582</v>
      </c>
      <c r="C951" s="92"/>
      <c r="D951" s="92"/>
    </row>
    <row r="952">
      <c r="A952" s="80">
        <v>951.0</v>
      </c>
      <c r="B952" s="80" t="s">
        <v>1580</v>
      </c>
      <c r="C952" s="92"/>
      <c r="D952" s="92"/>
    </row>
    <row r="953">
      <c r="A953" s="80">
        <v>952.0</v>
      </c>
      <c r="B953" s="80" t="s">
        <v>1582</v>
      </c>
      <c r="C953" s="92"/>
      <c r="D953" s="92"/>
    </row>
    <row r="954">
      <c r="A954" s="80">
        <v>953.0</v>
      </c>
      <c r="B954" s="80" t="s">
        <v>1580</v>
      </c>
      <c r="C954" s="92"/>
      <c r="D954" s="92"/>
    </row>
    <row r="955">
      <c r="A955" s="80">
        <v>954.0</v>
      </c>
      <c r="B955" s="80" t="s">
        <v>1582</v>
      </c>
      <c r="C955" s="92"/>
      <c r="D955" s="92"/>
    </row>
    <row r="956">
      <c r="A956" s="80">
        <v>955.0</v>
      </c>
      <c r="B956" s="80" t="s">
        <v>1580</v>
      </c>
      <c r="C956" s="92"/>
      <c r="D956" s="92"/>
    </row>
    <row r="957">
      <c r="A957" s="80">
        <v>956.0</v>
      </c>
      <c r="B957" s="80" t="s">
        <v>1582</v>
      </c>
      <c r="C957" s="92"/>
      <c r="D957" s="92"/>
    </row>
    <row r="958">
      <c r="A958" s="80">
        <v>957.0</v>
      </c>
      <c r="B958" s="80" t="s">
        <v>1580</v>
      </c>
      <c r="C958" s="92"/>
      <c r="D958" s="92"/>
    </row>
    <row r="959">
      <c r="A959" s="80">
        <v>958.0</v>
      </c>
      <c r="B959" s="80" t="s">
        <v>1582</v>
      </c>
      <c r="C959" s="92"/>
      <c r="D959" s="92"/>
    </row>
    <row r="960">
      <c r="A960" s="80">
        <v>959.0</v>
      </c>
      <c r="B960" s="80" t="s">
        <v>1580</v>
      </c>
      <c r="C960" s="92"/>
      <c r="D960" s="92"/>
    </row>
    <row r="961">
      <c r="A961" s="80">
        <v>960.0</v>
      </c>
      <c r="B961" s="80" t="s">
        <v>1582</v>
      </c>
      <c r="C961" s="92"/>
      <c r="D961" s="92"/>
    </row>
    <row r="962">
      <c r="A962" s="80">
        <v>961.0</v>
      </c>
      <c r="B962" s="80" t="s">
        <v>1580</v>
      </c>
      <c r="C962" s="92"/>
      <c r="D962" s="92"/>
    </row>
    <row r="963">
      <c r="A963" s="80">
        <v>962.0</v>
      </c>
      <c r="B963" s="80" t="s">
        <v>1582</v>
      </c>
      <c r="C963" s="92"/>
      <c r="D963" s="92"/>
    </row>
    <row r="964">
      <c r="A964" s="80">
        <v>963.0</v>
      </c>
      <c r="B964" s="80" t="s">
        <v>1580</v>
      </c>
      <c r="C964" s="92"/>
      <c r="D964" s="92"/>
    </row>
    <row r="965">
      <c r="A965" s="80">
        <v>964.0</v>
      </c>
      <c r="B965" s="80" t="s">
        <v>1582</v>
      </c>
      <c r="C965" s="92"/>
      <c r="D965" s="92"/>
    </row>
    <row r="966">
      <c r="A966" s="80">
        <v>965.0</v>
      </c>
      <c r="B966" s="80" t="s">
        <v>1580</v>
      </c>
      <c r="C966" s="92"/>
      <c r="D966" s="92"/>
    </row>
    <row r="967">
      <c r="A967" s="80">
        <v>966.0</v>
      </c>
      <c r="B967" s="80" t="s">
        <v>1582</v>
      </c>
      <c r="C967" s="92"/>
      <c r="D967" s="92"/>
    </row>
    <row r="968">
      <c r="A968" s="80">
        <v>967.0</v>
      </c>
      <c r="B968" s="80" t="s">
        <v>1580</v>
      </c>
      <c r="C968" s="92"/>
      <c r="D968" s="92"/>
    </row>
    <row r="969">
      <c r="A969" s="80">
        <v>968.0</v>
      </c>
      <c r="B969" s="80" t="s">
        <v>1582</v>
      </c>
      <c r="C969" s="92"/>
      <c r="D969" s="92"/>
    </row>
    <row r="970">
      <c r="A970" s="80">
        <v>969.0</v>
      </c>
      <c r="B970" s="80" t="s">
        <v>1580</v>
      </c>
      <c r="C970" s="92"/>
      <c r="D970" s="92"/>
    </row>
    <row r="971">
      <c r="A971" s="80">
        <v>970.0</v>
      </c>
      <c r="B971" s="80" t="s">
        <v>1582</v>
      </c>
      <c r="C971" s="92"/>
      <c r="D971" s="92"/>
    </row>
    <row r="972">
      <c r="A972" s="80">
        <v>971.0</v>
      </c>
      <c r="B972" s="80" t="s">
        <v>1580</v>
      </c>
      <c r="C972" s="92"/>
      <c r="D972" s="92"/>
    </row>
    <row r="973">
      <c r="A973" s="80">
        <v>972.0</v>
      </c>
      <c r="B973" s="80" t="s">
        <v>1582</v>
      </c>
      <c r="C973" s="92"/>
      <c r="D973" s="92"/>
    </row>
    <row r="974">
      <c r="A974" s="80">
        <v>973.0</v>
      </c>
      <c r="B974" s="80" t="s">
        <v>1580</v>
      </c>
      <c r="C974" s="92"/>
      <c r="D974" s="92"/>
    </row>
    <row r="975">
      <c r="A975" s="80">
        <v>974.0</v>
      </c>
      <c r="B975" s="80" t="s">
        <v>1582</v>
      </c>
      <c r="C975" s="92"/>
      <c r="D975" s="92"/>
    </row>
    <row r="976">
      <c r="A976" s="80">
        <v>975.0</v>
      </c>
      <c r="B976" s="80" t="s">
        <v>1580</v>
      </c>
      <c r="C976" s="92"/>
      <c r="D976" s="92"/>
    </row>
    <row r="977">
      <c r="A977" s="80">
        <v>976.0</v>
      </c>
      <c r="B977" s="80" t="s">
        <v>1582</v>
      </c>
      <c r="C977" s="92"/>
      <c r="D977" s="92"/>
    </row>
    <row r="978">
      <c r="A978" s="80">
        <v>977.0</v>
      </c>
      <c r="B978" s="80" t="s">
        <v>1580</v>
      </c>
      <c r="C978" s="92"/>
      <c r="D978" s="92"/>
    </row>
    <row r="979">
      <c r="A979" s="80">
        <v>978.0</v>
      </c>
      <c r="B979" s="80" t="s">
        <v>1582</v>
      </c>
      <c r="C979" s="92"/>
      <c r="D979" s="92"/>
    </row>
    <row r="980">
      <c r="A980" s="80">
        <v>979.0</v>
      </c>
      <c r="B980" s="80" t="s">
        <v>1580</v>
      </c>
      <c r="C980" s="92"/>
      <c r="D980" s="92"/>
    </row>
    <row r="981">
      <c r="A981" s="80">
        <v>980.0</v>
      </c>
      <c r="B981" s="80" t="s">
        <v>1582</v>
      </c>
      <c r="C981" s="92"/>
      <c r="D981" s="92"/>
    </row>
    <row r="982">
      <c r="A982" s="80">
        <v>981.0</v>
      </c>
      <c r="B982" s="80" t="s">
        <v>1580</v>
      </c>
      <c r="C982" s="92"/>
      <c r="D982" s="92"/>
    </row>
    <row r="983">
      <c r="A983" s="80">
        <v>982.0</v>
      </c>
      <c r="B983" s="80" t="s">
        <v>1582</v>
      </c>
      <c r="C983" s="92"/>
      <c r="D983" s="92"/>
    </row>
    <row r="984">
      <c r="A984" s="80">
        <v>983.0</v>
      </c>
      <c r="B984" s="80" t="s">
        <v>1580</v>
      </c>
      <c r="C984" s="92"/>
      <c r="D984" s="92"/>
    </row>
    <row r="985">
      <c r="A985" s="80">
        <v>984.0</v>
      </c>
      <c r="B985" s="80" t="s">
        <v>1582</v>
      </c>
      <c r="C985" s="92"/>
      <c r="D985" s="92"/>
    </row>
    <row r="986">
      <c r="A986" s="80">
        <v>985.0</v>
      </c>
      <c r="B986" s="80" t="s">
        <v>1580</v>
      </c>
      <c r="C986" s="92"/>
      <c r="D986" s="92"/>
    </row>
    <row r="987">
      <c r="A987" s="80">
        <v>986.0</v>
      </c>
      <c r="B987" s="80" t="s">
        <v>1582</v>
      </c>
      <c r="C987" s="92"/>
      <c r="D987" s="92"/>
    </row>
    <row r="988">
      <c r="A988" s="80">
        <v>987.0</v>
      </c>
      <c r="B988" s="80" t="s">
        <v>1580</v>
      </c>
      <c r="C988" s="92"/>
      <c r="D988" s="92"/>
    </row>
    <row r="989">
      <c r="A989" s="80">
        <v>988.0</v>
      </c>
      <c r="B989" s="80" t="s">
        <v>1582</v>
      </c>
      <c r="C989" s="92"/>
      <c r="D989" s="92"/>
    </row>
    <row r="990">
      <c r="A990" s="80">
        <v>989.0</v>
      </c>
      <c r="B990" s="80" t="s">
        <v>1580</v>
      </c>
      <c r="C990" s="92"/>
      <c r="D990" s="92"/>
    </row>
    <row r="991">
      <c r="A991" s="80">
        <v>990.0</v>
      </c>
      <c r="B991" s="80" t="s">
        <v>1582</v>
      </c>
      <c r="C991" s="92"/>
      <c r="D991" s="92"/>
    </row>
    <row r="992">
      <c r="A992" s="80">
        <v>991.0</v>
      </c>
      <c r="B992" s="80" t="s">
        <v>1580</v>
      </c>
      <c r="C992" s="92"/>
      <c r="D992" s="92"/>
    </row>
    <row r="993">
      <c r="A993" s="80">
        <v>992.0</v>
      </c>
      <c r="B993" s="80" t="s">
        <v>1582</v>
      </c>
      <c r="C993" s="92"/>
      <c r="D993" s="92"/>
    </row>
    <row r="994">
      <c r="A994" s="80">
        <v>993.0</v>
      </c>
      <c r="B994" s="80" t="s">
        <v>1580</v>
      </c>
      <c r="C994" s="92"/>
      <c r="D994" s="92"/>
    </row>
    <row r="995">
      <c r="A995" s="80">
        <v>994.0</v>
      </c>
      <c r="B995" s="80" t="s">
        <v>1582</v>
      </c>
      <c r="C995" s="92"/>
      <c r="D995" s="92"/>
    </row>
    <row r="996">
      <c r="A996" s="80">
        <v>995.0</v>
      </c>
      <c r="B996" s="80" t="s">
        <v>1580</v>
      </c>
      <c r="C996" s="92"/>
      <c r="D996" s="92"/>
    </row>
    <row r="997">
      <c r="A997" s="80">
        <v>996.0</v>
      </c>
      <c r="B997" s="80" t="s">
        <v>1582</v>
      </c>
      <c r="C997" s="92"/>
      <c r="D997" s="92"/>
    </row>
    <row r="998">
      <c r="A998" s="80">
        <v>997.0</v>
      </c>
      <c r="B998" s="80" t="s">
        <v>1580</v>
      </c>
      <c r="C998" s="92"/>
      <c r="D998" s="92"/>
    </row>
    <row r="999">
      <c r="A999" s="80">
        <v>998.0</v>
      </c>
      <c r="B999" s="80" t="s">
        <v>1582</v>
      </c>
      <c r="C999" s="92"/>
      <c r="D999" s="92"/>
    </row>
    <row r="1000">
      <c r="A1000" s="80">
        <v>999.0</v>
      </c>
      <c r="B1000" s="80" t="s">
        <v>1580</v>
      </c>
      <c r="C1000" s="92"/>
      <c r="D1000" s="92"/>
    </row>
    <row r="1001">
      <c r="A1001" s="89">
        <v>1000.0</v>
      </c>
      <c r="B1001" s="89" t="s">
        <v>1582</v>
      </c>
      <c r="C1001" s="93"/>
      <c r="D1001" s="93"/>
    </row>
  </sheetData>
  <drawing r:id="rId1"/>
  <tableParts count="1">
    <tablePart r:id="rId3"/>
  </tableParts>
</worksheet>
</file>